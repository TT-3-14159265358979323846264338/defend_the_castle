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ke8\OneDrive\ドキュメント\java\defend the castle\"/>
    </mc:Choice>
  </mc:AlternateContent>
  <xr:revisionPtr revIDLastSave="0" documentId="13_ncr:1_{69322A8B-C718-436F-AE5E-23B5F751E591}" xr6:coauthVersionLast="47" xr6:coauthVersionMax="47" xr10:uidLastSave="{00000000-0000-0000-0000-000000000000}"/>
  <bookViews>
    <workbookView xWindow="-108" yWindow="-108" windowWidth="23256" windowHeight="12456" xr2:uid="{09B36217-5566-4350-9840-D14D1AF8842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51" i="1" l="1"/>
  <c r="D53" i="1" s="1"/>
  <c r="E51" i="1"/>
  <c r="E53" i="1" s="1"/>
  <c r="F51" i="1"/>
  <c r="F53" i="1" s="1"/>
  <c r="G51" i="1"/>
  <c r="G53" i="1" s="1"/>
  <c r="H51" i="1"/>
  <c r="H55" i="1" s="1"/>
  <c r="I51" i="1"/>
  <c r="I55" i="1" s="1"/>
  <c r="J51" i="1"/>
  <c r="J55" i="1" s="1"/>
  <c r="K51" i="1"/>
  <c r="K53" i="1" s="1"/>
  <c r="L51" i="1"/>
  <c r="L55" i="1" s="1"/>
  <c r="M51" i="1"/>
  <c r="M55" i="1" s="1"/>
  <c r="N51" i="1"/>
  <c r="N55" i="1" s="1"/>
  <c r="O51" i="1"/>
  <c r="O55" i="1" s="1"/>
  <c r="P51" i="1"/>
  <c r="P53" i="1" s="1"/>
  <c r="Q51" i="1"/>
  <c r="Q53" i="1" s="1"/>
  <c r="R51" i="1"/>
  <c r="R55" i="1" s="1"/>
  <c r="S51" i="1"/>
  <c r="S55" i="1" s="1"/>
  <c r="T51" i="1"/>
  <c r="T55" i="1" s="1"/>
  <c r="U51" i="1"/>
  <c r="U55" i="1" s="1"/>
  <c r="V51" i="1"/>
  <c r="V55" i="1" s="1"/>
  <c r="W51" i="1"/>
  <c r="W55" i="1" s="1"/>
  <c r="C45" i="1"/>
  <c r="D47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C47" i="1"/>
  <c r="D45" i="1"/>
  <c r="E45" i="1"/>
  <c r="F45" i="1"/>
  <c r="G45" i="1"/>
  <c r="H45" i="1"/>
  <c r="I45" i="1"/>
  <c r="J45" i="1"/>
  <c r="K45" i="1"/>
  <c r="L45" i="1"/>
  <c r="M45" i="1"/>
  <c r="N45" i="1"/>
  <c r="O45" i="1"/>
  <c r="P45" i="1"/>
  <c r="Q45" i="1"/>
  <c r="R45" i="1"/>
  <c r="S45" i="1"/>
  <c r="T45" i="1"/>
  <c r="U45" i="1"/>
  <c r="V45" i="1"/>
  <c r="W45" i="1"/>
  <c r="C4" i="1"/>
  <c r="AX5" i="1"/>
  <c r="BA5" i="1"/>
  <c r="BB5" i="1"/>
  <c r="BC5" i="1"/>
  <c r="BG5" i="1"/>
  <c r="BM5" i="1"/>
  <c r="BN5" i="1"/>
  <c r="BO5" i="1"/>
  <c r="AY6" i="1"/>
  <c r="BE6" i="1"/>
  <c r="BF6" i="1"/>
  <c r="BG6" i="1"/>
  <c r="BK6" i="1"/>
  <c r="BQ6" i="1"/>
  <c r="AX7" i="1"/>
  <c r="AY7" i="1"/>
  <c r="BC7" i="1"/>
  <c r="BI7" i="1"/>
  <c r="BJ7" i="1"/>
  <c r="BK7" i="1"/>
  <c r="BO7" i="1"/>
  <c r="BA8" i="1"/>
  <c r="BB8" i="1"/>
  <c r="BC8" i="1"/>
  <c r="BG8" i="1"/>
  <c r="BM8" i="1"/>
  <c r="BN8" i="1"/>
  <c r="BO8" i="1"/>
  <c r="AY9" i="1"/>
  <c r="BE9" i="1"/>
  <c r="BF9" i="1"/>
  <c r="BG9" i="1"/>
  <c r="BK9" i="1"/>
  <c r="BQ9" i="1"/>
  <c r="AX10" i="1"/>
  <c r="AY10" i="1"/>
  <c r="BC10" i="1"/>
  <c r="BI10" i="1"/>
  <c r="BJ10" i="1"/>
  <c r="BK10" i="1"/>
  <c r="BO10" i="1"/>
  <c r="BA11" i="1"/>
  <c r="BB11" i="1"/>
  <c r="BC11" i="1"/>
  <c r="BG11" i="1"/>
  <c r="BM11" i="1"/>
  <c r="BN11" i="1"/>
  <c r="BO11" i="1"/>
  <c r="AY12" i="1"/>
  <c r="BE12" i="1"/>
  <c r="BF12" i="1"/>
  <c r="BG12" i="1"/>
  <c r="BK12" i="1"/>
  <c r="BQ12" i="1"/>
  <c r="AX13" i="1"/>
  <c r="AY13" i="1"/>
  <c r="BC13" i="1"/>
  <c r="BI13" i="1"/>
  <c r="BJ13" i="1"/>
  <c r="BK13" i="1"/>
  <c r="BO13" i="1"/>
  <c r="BA14" i="1"/>
  <c r="BB14" i="1"/>
  <c r="BC14" i="1"/>
  <c r="BG14" i="1"/>
  <c r="BM14" i="1"/>
  <c r="BN14" i="1"/>
  <c r="BO14" i="1"/>
  <c r="AY15" i="1"/>
  <c r="BE15" i="1"/>
  <c r="BF15" i="1"/>
  <c r="BG15" i="1"/>
  <c r="BK15" i="1"/>
  <c r="BQ15" i="1"/>
  <c r="AX16" i="1"/>
  <c r="AY16" i="1"/>
  <c r="BA16" i="1"/>
  <c r="BC16" i="1"/>
  <c r="BI16" i="1"/>
  <c r="BJ16" i="1"/>
  <c r="BK16" i="1"/>
  <c r="BO16" i="1"/>
  <c r="BA17" i="1"/>
  <c r="BB17" i="1"/>
  <c r="BC17" i="1"/>
  <c r="BG17" i="1"/>
  <c r="BM17" i="1"/>
  <c r="BN17" i="1"/>
  <c r="BO17" i="1"/>
  <c r="AY18" i="1"/>
  <c r="BE18" i="1"/>
  <c r="BF18" i="1"/>
  <c r="BG18" i="1"/>
  <c r="BK18" i="1"/>
  <c r="BQ18" i="1"/>
  <c r="AX19" i="1"/>
  <c r="AY19" i="1"/>
  <c r="BC19" i="1"/>
  <c r="BI19" i="1"/>
  <c r="BJ19" i="1"/>
  <c r="BK19" i="1"/>
  <c r="BO19" i="1"/>
  <c r="BA20" i="1"/>
  <c r="BB20" i="1"/>
  <c r="BC20" i="1"/>
  <c r="BG20" i="1"/>
  <c r="BM20" i="1"/>
  <c r="BN20" i="1"/>
  <c r="BO20" i="1"/>
  <c r="AY21" i="1"/>
  <c r="BE21" i="1"/>
  <c r="BF21" i="1"/>
  <c r="BG21" i="1"/>
  <c r="BK21" i="1"/>
  <c r="BQ21" i="1"/>
  <c r="AX22" i="1"/>
  <c r="AY22" i="1"/>
  <c r="BC22" i="1"/>
  <c r="BI22" i="1"/>
  <c r="BJ22" i="1"/>
  <c r="BK22" i="1"/>
  <c r="BO22" i="1"/>
  <c r="BA23" i="1"/>
  <c r="BB23" i="1"/>
  <c r="BC23" i="1"/>
  <c r="BG23" i="1"/>
  <c r="BM23" i="1"/>
  <c r="BO23" i="1"/>
  <c r="AY24" i="1"/>
  <c r="BE24" i="1"/>
  <c r="BF24" i="1"/>
  <c r="BG24" i="1"/>
  <c r="BK24" i="1"/>
  <c r="BQ24" i="1"/>
  <c r="AW5" i="1"/>
  <c r="AW6" i="1"/>
  <c r="AW10" i="1"/>
  <c r="AW16" i="1"/>
  <c r="AW17" i="1"/>
  <c r="AW18" i="1"/>
  <c r="AW22" i="1"/>
  <c r="AY3" i="1"/>
  <c r="AZ3" i="1"/>
  <c r="BA3" i="1"/>
  <c r="BB3" i="1"/>
  <c r="BD3" i="1"/>
  <c r="BF3" i="1"/>
  <c r="BH3" i="1"/>
  <c r="BI3" i="1"/>
  <c r="BK3" i="1"/>
  <c r="BL3" i="1"/>
  <c r="BM3" i="1"/>
  <c r="BN3" i="1"/>
  <c r="BP3" i="1"/>
  <c r="Z6" i="1"/>
  <c r="Z10" i="1"/>
  <c r="Z17" i="1"/>
  <c r="Z18" i="1"/>
  <c r="Z22" i="1"/>
  <c r="AA3" i="1"/>
  <c r="AX3" i="1" s="1"/>
  <c r="AB3" i="1"/>
  <c r="AC3" i="1"/>
  <c r="AD3" i="1"/>
  <c r="AE3" i="1"/>
  <c r="AF3" i="1"/>
  <c r="BC3" i="1" s="1"/>
  <c r="AG3" i="1"/>
  <c r="AH3" i="1"/>
  <c r="BE3" i="1" s="1"/>
  <c r="AI3" i="1"/>
  <c r="AJ3" i="1"/>
  <c r="BG3" i="1" s="1"/>
  <c r="AK3" i="1"/>
  <c r="AL3" i="1"/>
  <c r="AM3" i="1"/>
  <c r="BJ3" i="1" s="1"/>
  <c r="AN3" i="1"/>
  <c r="AO3" i="1"/>
  <c r="AP3" i="1"/>
  <c r="AQ3" i="1"/>
  <c r="AR3" i="1"/>
  <c r="BO3" i="1" s="1"/>
  <c r="AS3" i="1"/>
  <c r="AT3" i="1"/>
  <c r="BQ3" i="1" s="1"/>
  <c r="Z3" i="1"/>
  <c r="AW3" i="1" s="1"/>
  <c r="D4" i="1"/>
  <c r="E4" i="1"/>
  <c r="F4" i="1"/>
  <c r="G4" i="1"/>
  <c r="AD5" i="1" s="1"/>
  <c r="H4" i="1"/>
  <c r="I4" i="1"/>
  <c r="AF5" i="1" s="1"/>
  <c r="J4" i="1"/>
  <c r="AG5" i="1" s="1"/>
  <c r="K4" i="1"/>
  <c r="AH5" i="1" s="1"/>
  <c r="L4" i="1"/>
  <c r="AI5" i="1" s="1"/>
  <c r="M4" i="1"/>
  <c r="AJ5" i="1" s="1"/>
  <c r="N4" i="1"/>
  <c r="AK5" i="1" s="1"/>
  <c r="O4" i="1"/>
  <c r="BI4" i="1" s="1"/>
  <c r="P4" i="1"/>
  <c r="Q4" i="1"/>
  <c r="R4" i="1"/>
  <c r="S4" i="1"/>
  <c r="BM4" i="1" s="1"/>
  <c r="T4" i="1"/>
  <c r="BN4" i="1" s="1"/>
  <c r="U4" i="1"/>
  <c r="BO4" i="1" s="1"/>
  <c r="V4" i="1"/>
  <c r="AS5" i="1" s="1"/>
  <c r="W4" i="1"/>
  <c r="BQ4" i="1" s="1"/>
  <c r="D5" i="1"/>
  <c r="E5" i="1"/>
  <c r="AY5" i="1" s="1"/>
  <c r="F5" i="1"/>
  <c r="AZ5" i="1" s="1"/>
  <c r="G5" i="1"/>
  <c r="H5" i="1"/>
  <c r="I5" i="1"/>
  <c r="J5" i="1"/>
  <c r="BD5" i="1" s="1"/>
  <c r="K5" i="1"/>
  <c r="BE5" i="1" s="1"/>
  <c r="L5" i="1"/>
  <c r="BF5" i="1" s="1"/>
  <c r="M5" i="1"/>
  <c r="N5" i="1"/>
  <c r="BH5" i="1" s="1"/>
  <c r="O5" i="1"/>
  <c r="BI5" i="1" s="1"/>
  <c r="P5" i="1"/>
  <c r="BJ5" i="1" s="1"/>
  <c r="Q5" i="1"/>
  <c r="BK5" i="1" s="1"/>
  <c r="R5" i="1"/>
  <c r="BL5" i="1" s="1"/>
  <c r="S5" i="1"/>
  <c r="T5" i="1"/>
  <c r="U5" i="1"/>
  <c r="V5" i="1"/>
  <c r="BP5" i="1" s="1"/>
  <c r="W5" i="1"/>
  <c r="BQ5" i="1" s="1"/>
  <c r="D6" i="1"/>
  <c r="E6" i="1"/>
  <c r="F6" i="1"/>
  <c r="AC7" i="1" s="1"/>
  <c r="G6" i="1"/>
  <c r="AD6" i="1" s="1"/>
  <c r="H6" i="1"/>
  <c r="AE6" i="1" s="1"/>
  <c r="I6" i="1"/>
  <c r="AF6" i="1" s="1"/>
  <c r="J6" i="1"/>
  <c r="AG6" i="1" s="1"/>
  <c r="K6" i="1"/>
  <c r="L6" i="1"/>
  <c r="AI6" i="1" s="1"/>
  <c r="M6" i="1"/>
  <c r="N6" i="1"/>
  <c r="O6" i="1"/>
  <c r="BI6" i="1" s="1"/>
  <c r="P6" i="1"/>
  <c r="BJ6" i="1" s="1"/>
  <c r="Q6" i="1"/>
  <c r="R6" i="1"/>
  <c r="AO7" i="1" s="1"/>
  <c r="S6" i="1"/>
  <c r="AP6" i="1" s="1"/>
  <c r="T6" i="1"/>
  <c r="AQ7" i="1" s="1"/>
  <c r="U6" i="1"/>
  <c r="AR6" i="1" s="1"/>
  <c r="V6" i="1"/>
  <c r="BP6" i="1" s="1"/>
  <c r="W6" i="1"/>
  <c r="D7" i="1"/>
  <c r="E7" i="1"/>
  <c r="F7" i="1"/>
  <c r="AZ7" i="1" s="1"/>
  <c r="G7" i="1"/>
  <c r="BA7" i="1" s="1"/>
  <c r="H7" i="1"/>
  <c r="BB7" i="1" s="1"/>
  <c r="I7" i="1"/>
  <c r="J7" i="1"/>
  <c r="AG8" i="1" s="1"/>
  <c r="K7" i="1"/>
  <c r="AH7" i="1" s="1"/>
  <c r="L7" i="1"/>
  <c r="AI7" i="1" s="1"/>
  <c r="M7" i="1"/>
  <c r="AJ7" i="1" s="1"/>
  <c r="N7" i="1"/>
  <c r="BH7" i="1" s="1"/>
  <c r="O7" i="1"/>
  <c r="P7" i="1"/>
  <c r="Q7" i="1"/>
  <c r="R7" i="1"/>
  <c r="BL7" i="1" s="1"/>
  <c r="S7" i="1"/>
  <c r="T7" i="1"/>
  <c r="BN7" i="1" s="1"/>
  <c r="U7" i="1"/>
  <c r="V7" i="1"/>
  <c r="AS8" i="1" s="1"/>
  <c r="W7" i="1"/>
  <c r="AT7" i="1" s="1"/>
  <c r="D8" i="1"/>
  <c r="AA8" i="1" s="1"/>
  <c r="E8" i="1"/>
  <c r="AB8" i="1" s="1"/>
  <c r="F8" i="1"/>
  <c r="AZ8" i="1" s="1"/>
  <c r="G8" i="1"/>
  <c r="H8" i="1"/>
  <c r="I8" i="1"/>
  <c r="J8" i="1"/>
  <c r="BD8" i="1" s="1"/>
  <c r="K8" i="1"/>
  <c r="L8" i="1"/>
  <c r="M8" i="1"/>
  <c r="N8" i="1"/>
  <c r="AK9" i="1" s="1"/>
  <c r="O8" i="1"/>
  <c r="AL8" i="1" s="1"/>
  <c r="P8" i="1"/>
  <c r="AM8" i="1" s="1"/>
  <c r="Q8" i="1"/>
  <c r="AN8" i="1" s="1"/>
  <c r="R8" i="1"/>
  <c r="BL8" i="1" s="1"/>
  <c r="S8" i="1"/>
  <c r="T8" i="1"/>
  <c r="U8" i="1"/>
  <c r="V8" i="1"/>
  <c r="BP8" i="1" s="1"/>
  <c r="W8" i="1"/>
  <c r="BQ8" i="1" s="1"/>
  <c r="D9" i="1"/>
  <c r="E9" i="1"/>
  <c r="F9" i="1"/>
  <c r="AC10" i="1" s="1"/>
  <c r="G9" i="1"/>
  <c r="AD9" i="1" s="1"/>
  <c r="H9" i="1"/>
  <c r="AE9" i="1" s="1"/>
  <c r="I9" i="1"/>
  <c r="AF9" i="1" s="1"/>
  <c r="J9" i="1"/>
  <c r="BD9" i="1" s="1"/>
  <c r="K9" i="1"/>
  <c r="L9" i="1"/>
  <c r="M9" i="1"/>
  <c r="N9" i="1"/>
  <c r="BH9" i="1" s="1"/>
  <c r="O9" i="1"/>
  <c r="P9" i="1"/>
  <c r="Q9" i="1"/>
  <c r="R9" i="1"/>
  <c r="AO10" i="1" s="1"/>
  <c r="S9" i="1"/>
  <c r="AP9" i="1" s="1"/>
  <c r="T9" i="1"/>
  <c r="AQ9" i="1" s="1"/>
  <c r="U9" i="1"/>
  <c r="AR9" i="1" s="1"/>
  <c r="V9" i="1"/>
  <c r="BP9" i="1" s="1"/>
  <c r="W9" i="1"/>
  <c r="D10" i="1"/>
  <c r="E10" i="1"/>
  <c r="F10" i="1"/>
  <c r="AZ10" i="1" s="1"/>
  <c r="G10" i="1"/>
  <c r="BA10" i="1" s="1"/>
  <c r="H10" i="1"/>
  <c r="BB10" i="1" s="1"/>
  <c r="I10" i="1"/>
  <c r="J10" i="1"/>
  <c r="AG11" i="1" s="1"/>
  <c r="K10" i="1"/>
  <c r="AH10" i="1" s="1"/>
  <c r="L10" i="1"/>
  <c r="AI10" i="1" s="1"/>
  <c r="M10" i="1"/>
  <c r="AJ10" i="1" s="1"/>
  <c r="N10" i="1"/>
  <c r="BH10" i="1" s="1"/>
  <c r="O10" i="1"/>
  <c r="P10" i="1"/>
  <c r="Q10" i="1"/>
  <c r="R10" i="1"/>
  <c r="BL10" i="1" s="1"/>
  <c r="S10" i="1"/>
  <c r="BM10" i="1" s="1"/>
  <c r="T10" i="1"/>
  <c r="BN10" i="1" s="1"/>
  <c r="U10" i="1"/>
  <c r="V10" i="1"/>
  <c r="AS11" i="1" s="1"/>
  <c r="W10" i="1"/>
  <c r="AT10" i="1" s="1"/>
  <c r="D11" i="1"/>
  <c r="AA11" i="1" s="1"/>
  <c r="E11" i="1"/>
  <c r="AB11" i="1" s="1"/>
  <c r="F11" i="1"/>
  <c r="AZ11" i="1" s="1"/>
  <c r="G11" i="1"/>
  <c r="H11" i="1"/>
  <c r="I11" i="1"/>
  <c r="J11" i="1"/>
  <c r="BD11" i="1" s="1"/>
  <c r="K11" i="1"/>
  <c r="BE11" i="1" s="1"/>
  <c r="L11" i="1"/>
  <c r="M11" i="1"/>
  <c r="N11" i="1"/>
  <c r="AK12" i="1" s="1"/>
  <c r="O11" i="1"/>
  <c r="AL11" i="1" s="1"/>
  <c r="P11" i="1"/>
  <c r="AM11" i="1" s="1"/>
  <c r="Q11" i="1"/>
  <c r="AN11" i="1" s="1"/>
  <c r="R11" i="1"/>
  <c r="BL11" i="1" s="1"/>
  <c r="S11" i="1"/>
  <c r="T11" i="1"/>
  <c r="U11" i="1"/>
  <c r="V11" i="1"/>
  <c r="BP11" i="1" s="1"/>
  <c r="W11" i="1"/>
  <c r="D12" i="1"/>
  <c r="E12" i="1"/>
  <c r="F12" i="1"/>
  <c r="AC13" i="1" s="1"/>
  <c r="G12" i="1"/>
  <c r="AD12" i="1" s="1"/>
  <c r="H12" i="1"/>
  <c r="AE12" i="1" s="1"/>
  <c r="I12" i="1"/>
  <c r="AF12" i="1" s="1"/>
  <c r="J12" i="1"/>
  <c r="BD12" i="1" s="1"/>
  <c r="K12" i="1"/>
  <c r="L12" i="1"/>
  <c r="M12" i="1"/>
  <c r="N12" i="1"/>
  <c r="BH12" i="1" s="1"/>
  <c r="O12" i="1"/>
  <c r="BI12" i="1" s="1"/>
  <c r="P12" i="1"/>
  <c r="Q12" i="1"/>
  <c r="R12" i="1"/>
  <c r="AO13" i="1" s="1"/>
  <c r="S12" i="1"/>
  <c r="AP12" i="1" s="1"/>
  <c r="T12" i="1"/>
  <c r="AQ12" i="1" s="1"/>
  <c r="U12" i="1"/>
  <c r="AR12" i="1" s="1"/>
  <c r="V12" i="1"/>
  <c r="BP12" i="1" s="1"/>
  <c r="W12" i="1"/>
  <c r="D13" i="1"/>
  <c r="E13" i="1"/>
  <c r="F13" i="1"/>
  <c r="AZ13" i="1" s="1"/>
  <c r="G13" i="1"/>
  <c r="H13" i="1"/>
  <c r="I13" i="1"/>
  <c r="J13" i="1"/>
  <c r="AG14" i="1" s="1"/>
  <c r="K13" i="1"/>
  <c r="AH13" i="1" s="1"/>
  <c r="L13" i="1"/>
  <c r="AI13" i="1" s="1"/>
  <c r="M13" i="1"/>
  <c r="AJ13" i="1" s="1"/>
  <c r="N13" i="1"/>
  <c r="BH13" i="1" s="1"/>
  <c r="O13" i="1"/>
  <c r="P13" i="1"/>
  <c r="Q13" i="1"/>
  <c r="R13" i="1"/>
  <c r="BL13" i="1" s="1"/>
  <c r="S13" i="1"/>
  <c r="BM13" i="1" s="1"/>
  <c r="T13" i="1"/>
  <c r="BN13" i="1" s="1"/>
  <c r="U13" i="1"/>
  <c r="V13" i="1"/>
  <c r="AS14" i="1" s="1"/>
  <c r="W13" i="1"/>
  <c r="AT13" i="1" s="1"/>
  <c r="D14" i="1"/>
  <c r="AA14" i="1" s="1"/>
  <c r="E14" i="1"/>
  <c r="AB14" i="1" s="1"/>
  <c r="F14" i="1"/>
  <c r="AZ14" i="1" s="1"/>
  <c r="G14" i="1"/>
  <c r="H14" i="1"/>
  <c r="I14" i="1"/>
  <c r="J14" i="1"/>
  <c r="BD14" i="1" s="1"/>
  <c r="K14" i="1"/>
  <c r="BE14" i="1" s="1"/>
  <c r="L14" i="1"/>
  <c r="BF14" i="1" s="1"/>
  <c r="M14" i="1"/>
  <c r="N14" i="1"/>
  <c r="AK15" i="1" s="1"/>
  <c r="O14" i="1"/>
  <c r="AL14" i="1" s="1"/>
  <c r="P14" i="1"/>
  <c r="AM14" i="1" s="1"/>
  <c r="Q14" i="1"/>
  <c r="AN14" i="1" s="1"/>
  <c r="R14" i="1"/>
  <c r="BL14" i="1" s="1"/>
  <c r="S14" i="1"/>
  <c r="T14" i="1"/>
  <c r="U14" i="1"/>
  <c r="V14" i="1"/>
  <c r="BP14" i="1" s="1"/>
  <c r="W14" i="1"/>
  <c r="BQ14" i="1" s="1"/>
  <c r="D15" i="1"/>
  <c r="E15" i="1"/>
  <c r="F15" i="1"/>
  <c r="AC16" i="1" s="1"/>
  <c r="G15" i="1"/>
  <c r="AD15" i="1" s="1"/>
  <c r="H15" i="1"/>
  <c r="AE15" i="1" s="1"/>
  <c r="I15" i="1"/>
  <c r="AF15" i="1" s="1"/>
  <c r="J15" i="1"/>
  <c r="BD15" i="1" s="1"/>
  <c r="K15" i="1"/>
  <c r="L15" i="1"/>
  <c r="M15" i="1"/>
  <c r="N15" i="1"/>
  <c r="BH15" i="1" s="1"/>
  <c r="O15" i="1"/>
  <c r="P15" i="1"/>
  <c r="Q15" i="1"/>
  <c r="R15" i="1"/>
  <c r="AO16" i="1" s="1"/>
  <c r="S15" i="1"/>
  <c r="AP15" i="1" s="1"/>
  <c r="T15" i="1"/>
  <c r="AQ15" i="1" s="1"/>
  <c r="U15" i="1"/>
  <c r="AR15" i="1" s="1"/>
  <c r="V15" i="1"/>
  <c r="BP15" i="1" s="1"/>
  <c r="W15" i="1"/>
  <c r="D16" i="1"/>
  <c r="E16" i="1"/>
  <c r="F16" i="1"/>
  <c r="AZ16" i="1" s="1"/>
  <c r="G16" i="1"/>
  <c r="H16" i="1"/>
  <c r="I16" i="1"/>
  <c r="J16" i="1"/>
  <c r="AG17" i="1" s="1"/>
  <c r="K16" i="1"/>
  <c r="AH16" i="1" s="1"/>
  <c r="L16" i="1"/>
  <c r="AI16" i="1" s="1"/>
  <c r="M16" i="1"/>
  <c r="AJ16" i="1" s="1"/>
  <c r="N16" i="1"/>
  <c r="BH16" i="1" s="1"/>
  <c r="O16" i="1"/>
  <c r="P16" i="1"/>
  <c r="Q16" i="1"/>
  <c r="R16" i="1"/>
  <c r="BL16" i="1" s="1"/>
  <c r="S16" i="1"/>
  <c r="T16" i="1"/>
  <c r="U16" i="1"/>
  <c r="V16" i="1"/>
  <c r="AS17" i="1" s="1"/>
  <c r="W16" i="1"/>
  <c r="AT16" i="1" s="1"/>
  <c r="D17" i="1"/>
  <c r="AA17" i="1" s="1"/>
  <c r="E17" i="1"/>
  <c r="AB17" i="1" s="1"/>
  <c r="F17" i="1"/>
  <c r="AZ17" i="1" s="1"/>
  <c r="G17" i="1"/>
  <c r="H17" i="1"/>
  <c r="I17" i="1"/>
  <c r="J17" i="1"/>
  <c r="BD17" i="1" s="1"/>
  <c r="K17" i="1"/>
  <c r="BE17" i="1" s="1"/>
  <c r="L17" i="1"/>
  <c r="BF17" i="1" s="1"/>
  <c r="M17" i="1"/>
  <c r="N17" i="1"/>
  <c r="AK18" i="1" s="1"/>
  <c r="O17" i="1"/>
  <c r="AL17" i="1" s="1"/>
  <c r="P17" i="1"/>
  <c r="AM17" i="1" s="1"/>
  <c r="Q17" i="1"/>
  <c r="AN17" i="1" s="1"/>
  <c r="R17" i="1"/>
  <c r="BL17" i="1" s="1"/>
  <c r="S17" i="1"/>
  <c r="T17" i="1"/>
  <c r="U17" i="1"/>
  <c r="V17" i="1"/>
  <c r="BP17" i="1" s="1"/>
  <c r="W17" i="1"/>
  <c r="BQ17" i="1" s="1"/>
  <c r="D18" i="1"/>
  <c r="AX18" i="1" s="1"/>
  <c r="E18" i="1"/>
  <c r="F18" i="1"/>
  <c r="AC19" i="1" s="1"/>
  <c r="G18" i="1"/>
  <c r="AD18" i="1" s="1"/>
  <c r="H18" i="1"/>
  <c r="AE18" i="1" s="1"/>
  <c r="I18" i="1"/>
  <c r="AF18" i="1" s="1"/>
  <c r="J18" i="1"/>
  <c r="BD18" i="1" s="1"/>
  <c r="K18" i="1"/>
  <c r="L18" i="1"/>
  <c r="M18" i="1"/>
  <c r="N18" i="1"/>
  <c r="BH18" i="1" s="1"/>
  <c r="O18" i="1"/>
  <c r="BI18" i="1" s="1"/>
  <c r="P18" i="1"/>
  <c r="Q18" i="1"/>
  <c r="R18" i="1"/>
  <c r="AO19" i="1" s="1"/>
  <c r="S18" i="1"/>
  <c r="AP18" i="1" s="1"/>
  <c r="T18" i="1"/>
  <c r="AQ18" i="1" s="1"/>
  <c r="U18" i="1"/>
  <c r="AR18" i="1" s="1"/>
  <c r="V18" i="1"/>
  <c r="BP18" i="1" s="1"/>
  <c r="W18" i="1"/>
  <c r="D19" i="1"/>
  <c r="E19" i="1"/>
  <c r="F19" i="1"/>
  <c r="AZ19" i="1" s="1"/>
  <c r="G19" i="1"/>
  <c r="H19" i="1"/>
  <c r="I19" i="1"/>
  <c r="J19" i="1"/>
  <c r="AG20" i="1" s="1"/>
  <c r="K19" i="1"/>
  <c r="AH19" i="1" s="1"/>
  <c r="L19" i="1"/>
  <c r="AI19" i="1" s="1"/>
  <c r="M19" i="1"/>
  <c r="AJ19" i="1" s="1"/>
  <c r="N19" i="1"/>
  <c r="BH19" i="1" s="1"/>
  <c r="O19" i="1"/>
  <c r="P19" i="1"/>
  <c r="Q19" i="1"/>
  <c r="R19" i="1"/>
  <c r="BL19" i="1" s="1"/>
  <c r="S19" i="1"/>
  <c r="T19" i="1"/>
  <c r="U19" i="1"/>
  <c r="V19" i="1"/>
  <c r="AS20" i="1" s="1"/>
  <c r="W19" i="1"/>
  <c r="AT19" i="1" s="1"/>
  <c r="D20" i="1"/>
  <c r="AA20" i="1" s="1"/>
  <c r="E20" i="1"/>
  <c r="AB21" i="1" s="1"/>
  <c r="F20" i="1"/>
  <c r="AZ20" i="1" s="1"/>
  <c r="G20" i="1"/>
  <c r="H20" i="1"/>
  <c r="I20" i="1"/>
  <c r="J20" i="1"/>
  <c r="BD20" i="1" s="1"/>
  <c r="K20" i="1"/>
  <c r="L20" i="1"/>
  <c r="M20" i="1"/>
  <c r="N20" i="1"/>
  <c r="AK21" i="1" s="1"/>
  <c r="O20" i="1"/>
  <c r="AL20" i="1" s="1"/>
  <c r="P20" i="1"/>
  <c r="AM20" i="1" s="1"/>
  <c r="Q20" i="1"/>
  <c r="AN21" i="1" s="1"/>
  <c r="R20" i="1"/>
  <c r="BL20" i="1" s="1"/>
  <c r="S20" i="1"/>
  <c r="T20" i="1"/>
  <c r="U20" i="1"/>
  <c r="V20" i="1"/>
  <c r="BP20" i="1" s="1"/>
  <c r="W20" i="1"/>
  <c r="BQ20" i="1" s="1"/>
  <c r="D21" i="1"/>
  <c r="AX21" i="1" s="1"/>
  <c r="E21" i="1"/>
  <c r="F21" i="1"/>
  <c r="AC22" i="1" s="1"/>
  <c r="G21" i="1"/>
  <c r="AD21" i="1" s="1"/>
  <c r="H21" i="1"/>
  <c r="AE21" i="1" s="1"/>
  <c r="I21" i="1"/>
  <c r="AF22" i="1" s="1"/>
  <c r="J21" i="1"/>
  <c r="BD21" i="1" s="1"/>
  <c r="K21" i="1"/>
  <c r="L21" i="1"/>
  <c r="M21" i="1"/>
  <c r="N21" i="1"/>
  <c r="BH21" i="1" s="1"/>
  <c r="O21" i="1"/>
  <c r="BI21" i="1" s="1"/>
  <c r="P21" i="1"/>
  <c r="BJ21" i="1" s="1"/>
  <c r="Q21" i="1"/>
  <c r="R21" i="1"/>
  <c r="AO22" i="1" s="1"/>
  <c r="S21" i="1"/>
  <c r="AP21" i="1" s="1"/>
  <c r="T21" i="1"/>
  <c r="AQ21" i="1" s="1"/>
  <c r="U21" i="1"/>
  <c r="AR22" i="1" s="1"/>
  <c r="V21" i="1"/>
  <c r="BP21" i="1" s="1"/>
  <c r="W21" i="1"/>
  <c r="D22" i="1"/>
  <c r="E22" i="1"/>
  <c r="F22" i="1"/>
  <c r="AZ22" i="1" s="1"/>
  <c r="G22" i="1"/>
  <c r="BA22" i="1" s="1"/>
  <c r="H22" i="1"/>
  <c r="I22" i="1"/>
  <c r="J22" i="1"/>
  <c r="AG23" i="1" s="1"/>
  <c r="K22" i="1"/>
  <c r="AH22" i="1" s="1"/>
  <c r="L22" i="1"/>
  <c r="AI22" i="1" s="1"/>
  <c r="M22" i="1"/>
  <c r="AJ23" i="1" s="1"/>
  <c r="N22" i="1"/>
  <c r="BH22" i="1" s="1"/>
  <c r="O22" i="1"/>
  <c r="P22" i="1"/>
  <c r="Q22" i="1"/>
  <c r="R22" i="1"/>
  <c r="BL22" i="1" s="1"/>
  <c r="S22" i="1"/>
  <c r="T22" i="1"/>
  <c r="U22" i="1"/>
  <c r="V22" i="1"/>
  <c r="AS23" i="1" s="1"/>
  <c r="W22" i="1"/>
  <c r="AT22" i="1" s="1"/>
  <c r="D23" i="1"/>
  <c r="AA23" i="1" s="1"/>
  <c r="E23" i="1"/>
  <c r="AB24" i="1" s="1"/>
  <c r="F23" i="1"/>
  <c r="AZ23" i="1" s="1"/>
  <c r="G23" i="1"/>
  <c r="H23" i="1"/>
  <c r="I23" i="1"/>
  <c r="J23" i="1"/>
  <c r="BD23" i="1" s="1"/>
  <c r="K23" i="1"/>
  <c r="L23" i="1"/>
  <c r="M23" i="1"/>
  <c r="N23" i="1"/>
  <c r="AK24" i="1" s="1"/>
  <c r="O23" i="1"/>
  <c r="AL23" i="1" s="1"/>
  <c r="P23" i="1"/>
  <c r="AM23" i="1" s="1"/>
  <c r="Q23" i="1"/>
  <c r="AN24" i="1" s="1"/>
  <c r="R23" i="1"/>
  <c r="BL23" i="1" s="1"/>
  <c r="S23" i="1"/>
  <c r="T23" i="1"/>
  <c r="BN23" i="1" s="1"/>
  <c r="U23" i="1"/>
  <c r="V23" i="1"/>
  <c r="BP23" i="1" s="1"/>
  <c r="W23" i="1"/>
  <c r="D24" i="1"/>
  <c r="E24" i="1"/>
  <c r="F24" i="1"/>
  <c r="AZ24" i="1" s="1"/>
  <c r="G24" i="1"/>
  <c r="AD24" i="1" s="1"/>
  <c r="H24" i="1"/>
  <c r="AE24" i="1" s="1"/>
  <c r="I24" i="1"/>
  <c r="AF24" i="1" s="1"/>
  <c r="J24" i="1"/>
  <c r="BD24" i="1" s="1"/>
  <c r="K24" i="1"/>
  <c r="L24" i="1"/>
  <c r="M24" i="1"/>
  <c r="N24" i="1"/>
  <c r="BH24" i="1" s="1"/>
  <c r="O24" i="1"/>
  <c r="BI24" i="1" s="1"/>
  <c r="P24" i="1"/>
  <c r="BJ24" i="1" s="1"/>
  <c r="Q24" i="1"/>
  <c r="R24" i="1"/>
  <c r="BL24" i="1" s="1"/>
  <c r="S24" i="1"/>
  <c r="AP24" i="1" s="1"/>
  <c r="T24" i="1"/>
  <c r="AQ24" i="1" s="1"/>
  <c r="U24" i="1"/>
  <c r="AR24" i="1" s="1"/>
  <c r="V24" i="1"/>
  <c r="BP24" i="1" s="1"/>
  <c r="W24" i="1"/>
  <c r="C5" i="1"/>
  <c r="C6" i="1"/>
  <c r="C7" i="1"/>
  <c r="AW7" i="1" s="1"/>
  <c r="C8" i="1"/>
  <c r="AW8" i="1" s="1"/>
  <c r="C9" i="1"/>
  <c r="AW9" i="1" s="1"/>
  <c r="C10" i="1"/>
  <c r="C11" i="1"/>
  <c r="AW11" i="1" s="1"/>
  <c r="C12" i="1"/>
  <c r="Z12" i="1" s="1"/>
  <c r="C13" i="1"/>
  <c r="AW13" i="1" s="1"/>
  <c r="C14" i="1"/>
  <c r="AW14" i="1" s="1"/>
  <c r="C15" i="1"/>
  <c r="AW15" i="1" s="1"/>
  <c r="C16" i="1"/>
  <c r="C17" i="1"/>
  <c r="C18" i="1"/>
  <c r="C19" i="1"/>
  <c r="AW19" i="1" s="1"/>
  <c r="C20" i="1"/>
  <c r="AW20" i="1" s="1"/>
  <c r="C21" i="1"/>
  <c r="AW21" i="1" s="1"/>
  <c r="C22" i="1"/>
  <c r="C23" i="1"/>
  <c r="AW23" i="1" s="1"/>
  <c r="C24" i="1"/>
  <c r="AW24" i="1" s="1"/>
  <c r="AW4" i="1"/>
  <c r="O53" i="1" l="1"/>
  <c r="N53" i="1"/>
  <c r="I53" i="1"/>
  <c r="U53" i="1"/>
  <c r="H53" i="1"/>
  <c r="T53" i="1"/>
  <c r="R53" i="1"/>
  <c r="M53" i="1"/>
  <c r="L53" i="1"/>
  <c r="W53" i="1"/>
  <c r="V53" i="1"/>
  <c r="J53" i="1"/>
  <c r="S53" i="1"/>
  <c r="K55" i="1"/>
  <c r="G55" i="1"/>
  <c r="F55" i="1"/>
  <c r="E55" i="1"/>
  <c r="D55" i="1"/>
  <c r="Q55" i="1"/>
  <c r="P55" i="1"/>
  <c r="AD22" i="1"/>
  <c r="Z16" i="1"/>
  <c r="AN6" i="1"/>
  <c r="AB6" i="1"/>
  <c r="Z15" i="1"/>
  <c r="AT14" i="1"/>
  <c r="BD6" i="1"/>
  <c r="AL18" i="1"/>
  <c r="AA24" i="1"/>
  <c r="AI23" i="1"/>
  <c r="AQ22" i="1"/>
  <c r="AE22" i="1"/>
  <c r="AI20" i="1"/>
  <c r="AQ19" i="1"/>
  <c r="AE19" i="1"/>
  <c r="AM18" i="1"/>
  <c r="AQ16" i="1"/>
  <c r="AE16" i="1"/>
  <c r="AM15" i="1"/>
  <c r="AA15" i="1"/>
  <c r="AE13" i="1"/>
  <c r="AM12" i="1"/>
  <c r="AA12" i="1"/>
  <c r="AI11" i="1"/>
  <c r="AM9" i="1"/>
  <c r="AA9" i="1"/>
  <c r="AI8" i="1"/>
  <c r="AA6" i="1"/>
  <c r="AE5" i="1"/>
  <c r="Z14" i="1"/>
  <c r="AH11" i="1"/>
  <c r="BO24" i="1"/>
  <c r="BC24" i="1"/>
  <c r="BK23" i="1"/>
  <c r="AY23" i="1"/>
  <c r="BG22" i="1"/>
  <c r="BO21" i="1"/>
  <c r="BC21" i="1"/>
  <c r="BK20" i="1"/>
  <c r="AY20" i="1"/>
  <c r="BG19" i="1"/>
  <c r="BO18" i="1"/>
  <c r="BC18" i="1"/>
  <c r="BK17" i="1"/>
  <c r="AY17" i="1"/>
  <c r="BG16" i="1"/>
  <c r="BO15" i="1"/>
  <c r="BC15" i="1"/>
  <c r="BK14" i="1"/>
  <c r="AY14" i="1"/>
  <c r="BG13" i="1"/>
  <c r="BO12" i="1"/>
  <c r="BC12" i="1"/>
  <c r="BK11" i="1"/>
  <c r="AY11" i="1"/>
  <c r="BG10" i="1"/>
  <c r="BO9" i="1"/>
  <c r="BC9" i="1"/>
  <c r="BK8" i="1"/>
  <c r="AY8" i="1"/>
  <c r="BG7" i="1"/>
  <c r="BO6" i="1"/>
  <c r="BC6" i="1"/>
  <c r="AP22" i="1"/>
  <c r="AP19" i="1"/>
  <c r="AL15" i="1"/>
  <c r="AD13" i="1"/>
  <c r="AT11" i="1"/>
  <c r="AH8" i="1"/>
  <c r="AE10" i="1"/>
  <c r="BN24" i="1"/>
  <c r="BJ23" i="1"/>
  <c r="BF22" i="1"/>
  <c r="BB21" i="1"/>
  <c r="AX20" i="1"/>
  <c r="BN18" i="1"/>
  <c r="BJ17" i="1"/>
  <c r="BN15" i="1"/>
  <c r="BF13" i="1"/>
  <c r="BB12" i="1"/>
  <c r="AX11" i="1"/>
  <c r="BN9" i="1"/>
  <c r="BJ8" i="1"/>
  <c r="BF7" i="1"/>
  <c r="AO5" i="1"/>
  <c r="Z24" i="1"/>
  <c r="AE7" i="1"/>
  <c r="AW12" i="1"/>
  <c r="BI23" i="1"/>
  <c r="BM21" i="1"/>
  <c r="BI20" i="1"/>
  <c r="BE19" i="1"/>
  <c r="BA18" i="1"/>
  <c r="BI17" i="1"/>
  <c r="BQ16" i="1"/>
  <c r="BM15" i="1"/>
  <c r="BA15" i="1"/>
  <c r="BI14" i="1"/>
  <c r="BQ13" i="1"/>
  <c r="BE13" i="1"/>
  <c r="BM12" i="1"/>
  <c r="BA12" i="1"/>
  <c r="BI11" i="1"/>
  <c r="BQ10" i="1"/>
  <c r="BE10" i="1"/>
  <c r="BM9" i="1"/>
  <c r="BA9" i="1"/>
  <c r="BI8" i="1"/>
  <c r="BQ7" i="1"/>
  <c r="BE7" i="1"/>
  <c r="BM6" i="1"/>
  <c r="BA6" i="1"/>
  <c r="AT23" i="1"/>
  <c r="AD19" i="1"/>
  <c r="AP7" i="1"/>
  <c r="Z13" i="1"/>
  <c r="BB24" i="1"/>
  <c r="AX23" i="1"/>
  <c r="BN21" i="1"/>
  <c r="BJ20" i="1"/>
  <c r="BF19" i="1"/>
  <c r="BB18" i="1"/>
  <c r="AX17" i="1"/>
  <c r="BF16" i="1"/>
  <c r="BB15" i="1"/>
  <c r="BJ14" i="1"/>
  <c r="AX14" i="1"/>
  <c r="BN12" i="1"/>
  <c r="BJ11" i="1"/>
  <c r="BF10" i="1"/>
  <c r="BB9" i="1"/>
  <c r="AX8" i="1"/>
  <c r="BN6" i="1"/>
  <c r="BB6" i="1"/>
  <c r="AK6" i="1"/>
  <c r="AC5" i="1"/>
  <c r="BM24" i="1"/>
  <c r="BA24" i="1"/>
  <c r="BQ22" i="1"/>
  <c r="BE22" i="1"/>
  <c r="BA21" i="1"/>
  <c r="BQ19" i="1"/>
  <c r="BM18" i="1"/>
  <c r="BE16" i="1"/>
  <c r="AJ6" i="1"/>
  <c r="AN5" i="1"/>
  <c r="AB5" i="1"/>
  <c r="Z23" i="1"/>
  <c r="Z11" i="1"/>
  <c r="AM6" i="1"/>
  <c r="BH23" i="1"/>
  <c r="BP22" i="1"/>
  <c r="BD22" i="1"/>
  <c r="BL21" i="1"/>
  <c r="AZ21" i="1"/>
  <c r="BH20" i="1"/>
  <c r="BP19" i="1"/>
  <c r="BD19" i="1"/>
  <c r="BL18" i="1"/>
  <c r="AZ18" i="1"/>
  <c r="BH17" i="1"/>
  <c r="BP16" i="1"/>
  <c r="BD16" i="1"/>
  <c r="BL15" i="1"/>
  <c r="AZ15" i="1"/>
  <c r="BH14" i="1"/>
  <c r="BP13" i="1"/>
  <c r="BD13" i="1"/>
  <c r="BL12" i="1"/>
  <c r="AZ12" i="1"/>
  <c r="BH11" i="1"/>
  <c r="BP10" i="1"/>
  <c r="BD10" i="1"/>
  <c r="BL9" i="1"/>
  <c r="AZ9" i="1"/>
  <c r="BH8" i="1"/>
  <c r="BP7" i="1"/>
  <c r="BD7" i="1"/>
  <c r="BL6" i="1"/>
  <c r="AZ6" i="1"/>
  <c r="AH23" i="1"/>
  <c r="AH20" i="1"/>
  <c r="AP16" i="1"/>
  <c r="AL9" i="1"/>
  <c r="AM5" i="1"/>
  <c r="AA5" i="1"/>
  <c r="AL6" i="1"/>
  <c r="BE4" i="1"/>
  <c r="AH6" i="1"/>
  <c r="AL5" i="1"/>
  <c r="Z21" i="1"/>
  <c r="Z9" i="1"/>
  <c r="AX24" i="1"/>
  <c r="BF23" i="1"/>
  <c r="BN22" i="1"/>
  <c r="BB22" i="1"/>
  <c r="BF20" i="1"/>
  <c r="BN19" i="1"/>
  <c r="BB19" i="1"/>
  <c r="BJ18" i="1"/>
  <c r="BN16" i="1"/>
  <c r="BB16" i="1"/>
  <c r="BJ15" i="1"/>
  <c r="AX15" i="1"/>
  <c r="BB13" i="1"/>
  <c r="BJ12" i="1"/>
  <c r="AX12" i="1"/>
  <c r="BF11" i="1"/>
  <c r="BJ9" i="1"/>
  <c r="AX9" i="1"/>
  <c r="BF8" i="1"/>
  <c r="AX6" i="1"/>
  <c r="BD4" i="1"/>
  <c r="Z20" i="1"/>
  <c r="Z8" i="1"/>
  <c r="BQ23" i="1"/>
  <c r="BE23" i="1"/>
  <c r="BM22" i="1"/>
  <c r="BE20" i="1"/>
  <c r="BM19" i="1"/>
  <c r="BA19" i="1"/>
  <c r="BM16" i="1"/>
  <c r="BI15" i="1"/>
  <c r="BA13" i="1"/>
  <c r="BQ11" i="1"/>
  <c r="BI9" i="1"/>
  <c r="BE8" i="1"/>
  <c r="BM7" i="1"/>
  <c r="Z19" i="1"/>
  <c r="Z7" i="1"/>
  <c r="BH6" i="1"/>
  <c r="AT5" i="1"/>
  <c r="BH4" i="1"/>
  <c r="Z5" i="1"/>
  <c r="BG4" i="1"/>
  <c r="BF4" i="1"/>
  <c r="BP4" i="1"/>
  <c r="BC4" i="1"/>
  <c r="BB4" i="1"/>
  <c r="BA4" i="1"/>
  <c r="BL4" i="1"/>
  <c r="AZ4" i="1"/>
  <c r="BK4" i="1"/>
  <c r="AY4" i="1"/>
  <c r="BJ4" i="1"/>
  <c r="AX4" i="1"/>
  <c r="AA21" i="1"/>
  <c r="AJ20" i="1"/>
  <c r="AB18" i="1"/>
  <c r="AF16" i="1"/>
  <c r="AJ14" i="1"/>
  <c r="AJ11" i="1"/>
  <c r="AN9" i="1"/>
  <c r="AR23" i="1"/>
  <c r="AJ21" i="1"/>
  <c r="AN19" i="1"/>
  <c r="AR17" i="1"/>
  <c r="AB16" i="1"/>
  <c r="AF14" i="1"/>
  <c r="AJ12" i="1"/>
  <c r="AN10" i="1"/>
  <c r="AR8" i="1"/>
  <c r="AB7" i="1"/>
  <c r="AL12" i="1"/>
  <c r="AI24" i="1"/>
  <c r="AQ23" i="1"/>
  <c r="AE23" i="1"/>
  <c r="AM22" i="1"/>
  <c r="AA22" i="1"/>
  <c r="AI21" i="1"/>
  <c r="AQ20" i="1"/>
  <c r="AE20" i="1"/>
  <c r="AM19" i="1"/>
  <c r="AA19" i="1"/>
  <c r="AI18" i="1"/>
  <c r="AQ17" i="1"/>
  <c r="AE17" i="1"/>
  <c r="AM16" i="1"/>
  <c r="AA16" i="1"/>
  <c r="AI15" i="1"/>
  <c r="AQ14" i="1"/>
  <c r="AE14" i="1"/>
  <c r="AM13" i="1"/>
  <c r="AA13" i="1"/>
  <c r="AI12" i="1"/>
  <c r="AQ11" i="1"/>
  <c r="AE11" i="1"/>
  <c r="AM10" i="1"/>
  <c r="AA10" i="1"/>
  <c r="AI9" i="1"/>
  <c r="AQ8" i="1"/>
  <c r="AE8" i="1"/>
  <c r="AM7" i="1"/>
  <c r="AA7" i="1"/>
  <c r="AQ5" i="1"/>
  <c r="AI17" i="1"/>
  <c r="AN18" i="1"/>
  <c r="AR16" i="1"/>
  <c r="AB15" i="1"/>
  <c r="AN12" i="1"/>
  <c r="AR10" i="1"/>
  <c r="AJ8" i="1"/>
  <c r="AL24" i="1"/>
  <c r="AN22" i="1"/>
  <c r="AR20" i="1"/>
  <c r="AB19" i="1"/>
  <c r="AF17" i="1"/>
  <c r="AJ15" i="1"/>
  <c r="AN13" i="1"/>
  <c r="AF11" i="1"/>
  <c r="AJ9" i="1"/>
  <c r="AN7" i="1"/>
  <c r="AR5" i="1"/>
  <c r="AT8" i="1"/>
  <c r="AT24" i="1"/>
  <c r="AH24" i="1"/>
  <c r="AP23" i="1"/>
  <c r="AD23" i="1"/>
  <c r="AL22" i="1"/>
  <c r="AT21" i="1"/>
  <c r="AH21" i="1"/>
  <c r="AP20" i="1"/>
  <c r="AD20" i="1"/>
  <c r="AL19" i="1"/>
  <c r="AT18" i="1"/>
  <c r="AH18" i="1"/>
  <c r="AP17" i="1"/>
  <c r="AD17" i="1"/>
  <c r="AL16" i="1"/>
  <c r="AT15" i="1"/>
  <c r="AH15" i="1"/>
  <c r="AP14" i="1"/>
  <c r="AD14" i="1"/>
  <c r="AL13" i="1"/>
  <c r="AT12" i="1"/>
  <c r="AH12" i="1"/>
  <c r="AP11" i="1"/>
  <c r="AD11" i="1"/>
  <c r="AL10" i="1"/>
  <c r="AT9" i="1"/>
  <c r="AH9" i="1"/>
  <c r="AP8" i="1"/>
  <c r="AD8" i="1"/>
  <c r="AL7" i="1"/>
  <c r="AT6" i="1"/>
  <c r="AP5" i="1"/>
  <c r="AM24" i="1"/>
  <c r="AR19" i="1"/>
  <c r="AJ17" i="1"/>
  <c r="AN15" i="1"/>
  <c r="AR13" i="1"/>
  <c r="AB12" i="1"/>
  <c r="AF10" i="1"/>
  <c r="AF7" i="1"/>
  <c r="AJ24" i="1"/>
  <c r="AF23" i="1"/>
  <c r="AB22" i="1"/>
  <c r="AF20" i="1"/>
  <c r="AJ18" i="1"/>
  <c r="AN16" i="1"/>
  <c r="AR14" i="1"/>
  <c r="AB13" i="1"/>
  <c r="AR11" i="1"/>
  <c r="AB10" i="1"/>
  <c r="AF8" i="1"/>
  <c r="AD16" i="1"/>
  <c r="AS24" i="1"/>
  <c r="AG24" i="1"/>
  <c r="AO24" i="1"/>
  <c r="AC24" i="1"/>
  <c r="AK23" i="1"/>
  <c r="AS22" i="1"/>
  <c r="AG22" i="1"/>
  <c r="AO21" i="1"/>
  <c r="AC20" i="1"/>
  <c r="AK20" i="1"/>
  <c r="AS18" i="1"/>
  <c r="AG18" i="1"/>
  <c r="AO17" i="1"/>
  <c r="AC17" i="1"/>
  <c r="AK16" i="1"/>
  <c r="AS15" i="1"/>
  <c r="AG15" i="1"/>
  <c r="AO14" i="1"/>
  <c r="AC14" i="1"/>
  <c r="AK13" i="1"/>
  <c r="AS12" i="1"/>
  <c r="AG12" i="1"/>
  <c r="AO11" i="1"/>
  <c r="AC11" i="1"/>
  <c r="AK10" i="1"/>
  <c r="AS9" i="1"/>
  <c r="AG9" i="1"/>
  <c r="AO8" i="1"/>
  <c r="AC8" i="1"/>
  <c r="AK7" i="1"/>
  <c r="AS6" i="1"/>
  <c r="AM21" i="1"/>
  <c r="AA18" i="1"/>
  <c r="AI14" i="1"/>
  <c r="AQ10" i="1"/>
  <c r="AD7" i="1"/>
  <c r="AL21" i="1"/>
  <c r="AT17" i="1"/>
  <c r="AH14" i="1"/>
  <c r="AP10" i="1"/>
  <c r="AF13" i="1"/>
  <c r="AT20" i="1"/>
  <c r="AH17" i="1"/>
  <c r="AP13" i="1"/>
  <c r="AD10" i="1"/>
  <c r="AQ13" i="1"/>
  <c r="AR7" i="1"/>
  <c r="AF19" i="1"/>
  <c r="AB9" i="1"/>
  <c r="AK22" i="1"/>
  <c r="AN23" i="1"/>
  <c r="AB23" i="1"/>
  <c r="AJ22" i="1"/>
  <c r="AR21" i="1"/>
  <c r="AF21" i="1"/>
  <c r="AN20" i="1"/>
  <c r="AB20" i="1"/>
  <c r="AC23" i="1"/>
  <c r="AO20" i="1"/>
  <c r="AQ6" i="1"/>
  <c r="AO23" i="1"/>
  <c r="AS21" i="1"/>
  <c r="AG21" i="1"/>
  <c r="AK19" i="1"/>
  <c r="AC21" i="1"/>
  <c r="AS19" i="1"/>
  <c r="AG19" i="1"/>
  <c r="AO18" i="1"/>
  <c r="AC18" i="1"/>
  <c r="AK17" i="1"/>
  <c r="AS16" i="1"/>
  <c r="AG16" i="1"/>
  <c r="AO15" i="1"/>
  <c r="AC15" i="1"/>
  <c r="AK14" i="1"/>
  <c r="AS13" i="1"/>
  <c r="AG13" i="1"/>
  <c r="AO12" i="1"/>
  <c r="AC12" i="1"/>
  <c r="AK11" i="1"/>
  <c r="AS10" i="1"/>
  <c r="AG10" i="1"/>
  <c r="AO9" i="1"/>
  <c r="AC9" i="1"/>
  <c r="AK8" i="1"/>
  <c r="AS7" i="1"/>
  <c r="AG7" i="1"/>
  <c r="AO6" i="1"/>
  <c r="AC6" i="1"/>
</calcChain>
</file>

<file path=xl/sharedStrings.xml><?xml version="1.0" encoding="utf-8"?>
<sst xmlns="http://schemas.openxmlformats.org/spreadsheetml/2006/main" count="23" uniqueCount="21">
  <si>
    <t>防御</t>
    <rPh sb="0" eb="2">
      <t>ボウギョ</t>
    </rPh>
    <phoneticPr fontId="1"/>
  </si>
  <si>
    <t>攻撃</t>
    <rPh sb="0" eb="2">
      <t>コウゲキ</t>
    </rPh>
    <phoneticPr fontId="1"/>
  </si>
  <si>
    <t>特徴</t>
    <rPh sb="0" eb="2">
      <t>トクチョウ</t>
    </rPh>
    <phoneticPr fontId="1"/>
  </si>
  <si>
    <t>・攻撃高いほどバフの威力が少しずつ低下→ダメージカット率が重視される</t>
    <rPh sb="1" eb="3">
      <t>コウゲキ</t>
    </rPh>
    <rPh sb="3" eb="4">
      <t>タカ</t>
    </rPh>
    <rPh sb="10" eb="12">
      <t>イリョク</t>
    </rPh>
    <rPh sb="13" eb="14">
      <t>スコ</t>
    </rPh>
    <rPh sb="17" eb="19">
      <t>テイカ</t>
    </rPh>
    <rPh sb="27" eb="28">
      <t>リツ</t>
    </rPh>
    <rPh sb="29" eb="31">
      <t>ジュウシ</t>
    </rPh>
    <phoneticPr fontId="1"/>
  </si>
  <si>
    <t>・攻撃高いほど低い防御相手にダメージ影響が低下→同ステージ(同防御)を攻略するとき高性能キャラが生きやすい</t>
    <rPh sb="7" eb="8">
      <t>ヒク</t>
    </rPh>
    <rPh sb="9" eb="11">
      <t>ボウギョ</t>
    </rPh>
    <rPh sb="11" eb="13">
      <t>アイテ</t>
    </rPh>
    <rPh sb="18" eb="20">
      <t>エイキョウ</t>
    </rPh>
    <rPh sb="21" eb="23">
      <t>テイカ</t>
    </rPh>
    <rPh sb="24" eb="25">
      <t>ドウ</t>
    </rPh>
    <rPh sb="30" eb="31">
      <t>ドウ</t>
    </rPh>
    <rPh sb="31" eb="33">
      <t>ボウギョ</t>
    </rPh>
    <rPh sb="35" eb="37">
      <t>コウリャク</t>
    </rPh>
    <rPh sb="41" eb="42">
      <t>コウ</t>
    </rPh>
    <rPh sb="42" eb="44">
      <t>セイノウ</t>
    </rPh>
    <rPh sb="48" eb="49">
      <t>イ</t>
    </rPh>
    <phoneticPr fontId="1"/>
  </si>
  <si>
    <t>・ダメージの増加量が緩やか→HPの過度のインフレを抑えられる</t>
    <rPh sb="6" eb="9">
      <t>ゾウカリョウ</t>
    </rPh>
    <rPh sb="10" eb="11">
      <t>ユル</t>
    </rPh>
    <rPh sb="17" eb="19">
      <t>カド</t>
    </rPh>
    <rPh sb="25" eb="26">
      <t>オサ</t>
    </rPh>
    <phoneticPr fontId="1"/>
  </si>
  <si>
    <t>ダメージ計算</t>
    <rPh sb="4" eb="6">
      <t>ケイサン</t>
    </rPh>
    <phoneticPr fontId="1"/>
  </si>
  <si>
    <t>攻撃に対するダメージ率</t>
    <rPh sb="0" eb="2">
      <t>コウゲキ</t>
    </rPh>
    <rPh sb="3" eb="4">
      <t>タイ</t>
    </rPh>
    <rPh sb="10" eb="11">
      <t>リツ</t>
    </rPh>
    <phoneticPr fontId="1"/>
  </si>
  <si>
    <t>攻撃50バフでのダメージ増加率</t>
    <rPh sb="0" eb="2">
      <t>コウゲキ</t>
    </rPh>
    <rPh sb="12" eb="15">
      <t>ゾウカリツ</t>
    </rPh>
    <phoneticPr fontId="1"/>
  </si>
  <si>
    <t>・攻撃・防御両方を上げてもダメージ増加する→緩やかにインフレさせられる</t>
    <rPh sb="6" eb="8">
      <t>リョウホウ</t>
    </rPh>
    <rPh sb="9" eb="10">
      <t>ア</t>
    </rPh>
    <rPh sb="17" eb="19">
      <t>ゾウカ</t>
    </rPh>
    <rPh sb="22" eb="23">
      <t>ユル</t>
    </rPh>
    <phoneticPr fontId="1"/>
  </si>
  <si>
    <t>ステータス</t>
    <phoneticPr fontId="1"/>
  </si>
  <si>
    <t>射程</t>
    <rPh sb="0" eb="2">
      <t>シャテイ</t>
    </rPh>
    <phoneticPr fontId="1"/>
  </si>
  <si>
    <t>攻撃速度</t>
    <rPh sb="0" eb="4">
      <t>コウゲキソクド</t>
    </rPh>
    <phoneticPr fontId="1"/>
  </si>
  <si>
    <t>攻撃対象</t>
    <rPh sb="0" eb="4">
      <t>コウゲキタイショウ</t>
    </rPh>
    <phoneticPr fontId="1"/>
  </si>
  <si>
    <t>HP</t>
    <phoneticPr fontId="1"/>
  </si>
  <si>
    <t>回復</t>
    <rPh sb="0" eb="2">
      <t>カイフク</t>
    </rPh>
    <phoneticPr fontId="1"/>
  </si>
  <si>
    <t>単体攻撃DPS</t>
    <rPh sb="0" eb="2">
      <t>タンタイ</t>
    </rPh>
    <rPh sb="2" eb="4">
      <t>コウゲキ</t>
    </rPh>
    <phoneticPr fontId="1"/>
  </si>
  <si>
    <t>総合攻撃DPS</t>
    <rPh sb="0" eb="2">
      <t>ソウゴウ</t>
    </rPh>
    <phoneticPr fontId="1"/>
  </si>
  <si>
    <t>防御DPS ※攻撃速度1000固定</t>
    <rPh sb="0" eb="2">
      <t>ボウギョ</t>
    </rPh>
    <rPh sb="7" eb="11">
      <t>コウゲキソクド</t>
    </rPh>
    <rPh sb="15" eb="17">
      <t>コテイ</t>
    </rPh>
    <phoneticPr fontId="1"/>
  </si>
  <si>
    <t>総合撃破時間</t>
    <rPh sb="0" eb="2">
      <t>ソウゴウ</t>
    </rPh>
    <rPh sb="2" eb="6">
      <t>ゲキハジカン</t>
    </rPh>
    <phoneticPr fontId="1"/>
  </si>
  <si>
    <t>撃破攻撃回数 ※回復除く</t>
    <rPh sb="0" eb="2">
      <t>ゲキハ</t>
    </rPh>
    <rPh sb="2" eb="6">
      <t>コウゲキカイスウ</t>
    </rPh>
    <rPh sb="8" eb="10">
      <t>カイフク</t>
    </rPh>
    <rPh sb="10" eb="11">
      <t>ノゾ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</si>
</sst>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"/>
  </numFmts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 applyAlignment="1">
      <alignment horizontal="right" vertical="center"/>
    </xf>
    <xf numFmtId="1" fontId="0" fillId="0" borderId="0" xfId="0" applyNumberFormat="1" applyAlignment="1">
      <alignment horizontal="right" vertical="center"/>
    </xf>
    <xf numFmtId="2" fontId="0" fillId="0" borderId="0" xfId="0" applyNumberFormat="1">
      <alignment vertical="center"/>
    </xf>
    <xf numFmtId="0" fontId="0" fillId="2" borderId="0" xfId="0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Sheet1!$B$4</c:f>
              <c:strCache>
                <c:ptCount val="1"/>
                <c:pt idx="0">
                  <c:v>0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Sheet1!$C$4:$W$4</c:f>
              <c:numCache>
                <c:formatCode>0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D7-45B9-B6F7-C835AA9E7AEF}"/>
            </c:ext>
          </c:extLst>
        </c:ser>
        <c:ser>
          <c:idx val="1"/>
          <c:order val="1"/>
          <c:tx>
            <c:strRef>
              <c:f>Sheet1!$B$5</c:f>
              <c:strCache>
                <c:ptCount val="1"/>
                <c:pt idx="0">
                  <c:v>50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Sheet1!$C$5:$W$5</c:f>
              <c:numCache>
                <c:formatCode>0</c:formatCode>
                <c:ptCount val="21"/>
                <c:pt idx="0">
                  <c:v>50</c:v>
                </c:pt>
                <c:pt idx="1">
                  <c:v>25</c:v>
                </c:pt>
                <c:pt idx="2">
                  <c:v>16.666666666666668</c:v>
                </c:pt>
                <c:pt idx="3">
                  <c:v>12.5</c:v>
                </c:pt>
                <c:pt idx="4">
                  <c:v>10</c:v>
                </c:pt>
                <c:pt idx="5">
                  <c:v>8.3333333333333339</c:v>
                </c:pt>
                <c:pt idx="6">
                  <c:v>7.1428571428571432</c:v>
                </c:pt>
                <c:pt idx="7">
                  <c:v>6.25</c:v>
                </c:pt>
                <c:pt idx="8">
                  <c:v>5.5555555555555554</c:v>
                </c:pt>
                <c:pt idx="9">
                  <c:v>5</c:v>
                </c:pt>
                <c:pt idx="10">
                  <c:v>4.5454545454545459</c:v>
                </c:pt>
                <c:pt idx="11">
                  <c:v>4.166666666666667</c:v>
                </c:pt>
                <c:pt idx="12">
                  <c:v>3.8461538461538463</c:v>
                </c:pt>
                <c:pt idx="13">
                  <c:v>3.5714285714285716</c:v>
                </c:pt>
                <c:pt idx="14">
                  <c:v>3.3333333333333335</c:v>
                </c:pt>
                <c:pt idx="15">
                  <c:v>3.125</c:v>
                </c:pt>
                <c:pt idx="16">
                  <c:v>2.9411764705882355</c:v>
                </c:pt>
                <c:pt idx="17">
                  <c:v>2.7777777777777777</c:v>
                </c:pt>
                <c:pt idx="18">
                  <c:v>2.6315789473684212</c:v>
                </c:pt>
                <c:pt idx="19">
                  <c:v>2.5</c:v>
                </c:pt>
                <c:pt idx="20">
                  <c:v>2.3809523809523809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FD7-45B9-B6F7-C835AA9E7AEF}"/>
            </c:ext>
          </c:extLst>
        </c:ser>
        <c:ser>
          <c:idx val="2"/>
          <c:order val="2"/>
          <c:tx>
            <c:strRef>
              <c:f>Sheet1!$B$6</c:f>
              <c:strCache>
                <c:ptCount val="1"/>
                <c:pt idx="0">
                  <c:v>100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Sheet1!$C$6:$W$6</c:f>
              <c:numCache>
                <c:formatCode>0</c:formatCode>
                <c:ptCount val="21"/>
                <c:pt idx="0">
                  <c:v>100</c:v>
                </c:pt>
                <c:pt idx="1">
                  <c:v>66.666666666666671</c:v>
                </c:pt>
                <c:pt idx="2">
                  <c:v>50</c:v>
                </c:pt>
                <c:pt idx="3">
                  <c:v>40</c:v>
                </c:pt>
                <c:pt idx="4">
                  <c:v>33.333333333333336</c:v>
                </c:pt>
                <c:pt idx="5">
                  <c:v>28.571428571428573</c:v>
                </c:pt>
                <c:pt idx="6">
                  <c:v>25</c:v>
                </c:pt>
                <c:pt idx="7">
                  <c:v>22.222222222222221</c:v>
                </c:pt>
                <c:pt idx="8">
                  <c:v>20</c:v>
                </c:pt>
                <c:pt idx="9">
                  <c:v>18.181818181818183</c:v>
                </c:pt>
                <c:pt idx="10">
                  <c:v>16.666666666666668</c:v>
                </c:pt>
                <c:pt idx="11">
                  <c:v>15.384615384615385</c:v>
                </c:pt>
                <c:pt idx="12">
                  <c:v>14.285714285714286</c:v>
                </c:pt>
                <c:pt idx="13">
                  <c:v>13.333333333333334</c:v>
                </c:pt>
                <c:pt idx="14">
                  <c:v>12.5</c:v>
                </c:pt>
                <c:pt idx="15">
                  <c:v>11.764705882352942</c:v>
                </c:pt>
                <c:pt idx="16">
                  <c:v>11.111111111111111</c:v>
                </c:pt>
                <c:pt idx="17">
                  <c:v>10.526315789473685</c:v>
                </c:pt>
                <c:pt idx="18">
                  <c:v>10</c:v>
                </c:pt>
                <c:pt idx="19">
                  <c:v>9.5238095238095237</c:v>
                </c:pt>
                <c:pt idx="20">
                  <c:v>9.0909090909090917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FD7-45B9-B6F7-C835AA9E7AEF}"/>
            </c:ext>
          </c:extLst>
        </c:ser>
        <c:ser>
          <c:idx val="3"/>
          <c:order val="3"/>
          <c:tx>
            <c:strRef>
              <c:f>Sheet1!$B$7</c:f>
              <c:strCache>
                <c:ptCount val="1"/>
                <c:pt idx="0">
                  <c:v>150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Sheet1!$C$7:$W$7</c:f>
              <c:numCache>
                <c:formatCode>0</c:formatCode>
                <c:ptCount val="21"/>
                <c:pt idx="0">
                  <c:v>150</c:v>
                </c:pt>
                <c:pt idx="1">
                  <c:v>112.5</c:v>
                </c:pt>
                <c:pt idx="2">
                  <c:v>90</c:v>
                </c:pt>
                <c:pt idx="3">
                  <c:v>75</c:v>
                </c:pt>
                <c:pt idx="4">
                  <c:v>64.285714285714292</c:v>
                </c:pt>
                <c:pt idx="5">
                  <c:v>56.25</c:v>
                </c:pt>
                <c:pt idx="6">
                  <c:v>50</c:v>
                </c:pt>
                <c:pt idx="7">
                  <c:v>45</c:v>
                </c:pt>
                <c:pt idx="8">
                  <c:v>40.909090909090907</c:v>
                </c:pt>
                <c:pt idx="9">
                  <c:v>37.5</c:v>
                </c:pt>
                <c:pt idx="10">
                  <c:v>34.615384615384613</c:v>
                </c:pt>
                <c:pt idx="11">
                  <c:v>32.142857142857146</c:v>
                </c:pt>
                <c:pt idx="12">
                  <c:v>30</c:v>
                </c:pt>
                <c:pt idx="13">
                  <c:v>28.125</c:v>
                </c:pt>
                <c:pt idx="14">
                  <c:v>26.470588235294116</c:v>
                </c:pt>
                <c:pt idx="15">
                  <c:v>25</c:v>
                </c:pt>
                <c:pt idx="16">
                  <c:v>23.684210526315791</c:v>
                </c:pt>
                <c:pt idx="17">
                  <c:v>22.5</c:v>
                </c:pt>
                <c:pt idx="18">
                  <c:v>21.428571428571427</c:v>
                </c:pt>
                <c:pt idx="19">
                  <c:v>20.454545454545453</c:v>
                </c:pt>
                <c:pt idx="20">
                  <c:v>19.565217391304348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FD7-45B9-B6F7-C835AA9E7AEF}"/>
            </c:ext>
          </c:extLst>
        </c:ser>
        <c:ser>
          <c:idx val="4"/>
          <c:order val="4"/>
          <c:tx>
            <c:strRef>
              <c:f>Sheet1!$B$8</c:f>
              <c:strCache>
                <c:ptCount val="1"/>
                <c:pt idx="0">
                  <c:v>200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Sheet1!$C$8:$W$8</c:f>
              <c:numCache>
                <c:formatCode>0</c:formatCode>
                <c:ptCount val="21"/>
                <c:pt idx="0">
                  <c:v>200</c:v>
                </c:pt>
                <c:pt idx="1">
                  <c:v>160</c:v>
                </c:pt>
                <c:pt idx="2">
                  <c:v>133.33333333333334</c:v>
                </c:pt>
                <c:pt idx="3">
                  <c:v>114.28571428571429</c:v>
                </c:pt>
                <c:pt idx="4">
                  <c:v>100</c:v>
                </c:pt>
                <c:pt idx="5">
                  <c:v>88.888888888888886</c:v>
                </c:pt>
                <c:pt idx="6">
                  <c:v>80</c:v>
                </c:pt>
                <c:pt idx="7">
                  <c:v>72.727272727272734</c:v>
                </c:pt>
                <c:pt idx="8">
                  <c:v>66.666666666666671</c:v>
                </c:pt>
                <c:pt idx="9">
                  <c:v>61.53846153846154</c:v>
                </c:pt>
                <c:pt idx="10">
                  <c:v>57.142857142857146</c:v>
                </c:pt>
                <c:pt idx="11">
                  <c:v>53.333333333333336</c:v>
                </c:pt>
                <c:pt idx="12">
                  <c:v>50</c:v>
                </c:pt>
                <c:pt idx="13">
                  <c:v>47.058823529411768</c:v>
                </c:pt>
                <c:pt idx="14">
                  <c:v>44.444444444444443</c:v>
                </c:pt>
                <c:pt idx="15">
                  <c:v>42.10526315789474</c:v>
                </c:pt>
                <c:pt idx="16">
                  <c:v>40</c:v>
                </c:pt>
                <c:pt idx="17">
                  <c:v>38.095238095238095</c:v>
                </c:pt>
                <c:pt idx="18">
                  <c:v>36.363636363636367</c:v>
                </c:pt>
                <c:pt idx="19">
                  <c:v>34.782608695652172</c:v>
                </c:pt>
                <c:pt idx="20">
                  <c:v>33.333333333333336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FD7-45B9-B6F7-C835AA9E7AEF}"/>
            </c:ext>
          </c:extLst>
        </c:ser>
        <c:ser>
          <c:idx val="5"/>
          <c:order val="5"/>
          <c:tx>
            <c:strRef>
              <c:f>Sheet1!$B$9</c:f>
              <c:strCache>
                <c:ptCount val="1"/>
                <c:pt idx="0">
                  <c:v>250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Sheet1!$C$9:$W$9</c:f>
              <c:numCache>
                <c:formatCode>0</c:formatCode>
                <c:ptCount val="21"/>
                <c:pt idx="0">
                  <c:v>250</c:v>
                </c:pt>
                <c:pt idx="1">
                  <c:v>208.33333333333334</c:v>
                </c:pt>
                <c:pt idx="2">
                  <c:v>178.57142857142858</c:v>
                </c:pt>
                <c:pt idx="3">
                  <c:v>156.25</c:v>
                </c:pt>
                <c:pt idx="4">
                  <c:v>138.88888888888889</c:v>
                </c:pt>
                <c:pt idx="5">
                  <c:v>125</c:v>
                </c:pt>
                <c:pt idx="6">
                  <c:v>113.63636363636364</c:v>
                </c:pt>
                <c:pt idx="7">
                  <c:v>104.16666666666667</c:v>
                </c:pt>
                <c:pt idx="8">
                  <c:v>96.15384615384616</c:v>
                </c:pt>
                <c:pt idx="9">
                  <c:v>89.285714285714292</c:v>
                </c:pt>
                <c:pt idx="10">
                  <c:v>83.333333333333329</c:v>
                </c:pt>
                <c:pt idx="11">
                  <c:v>78.125</c:v>
                </c:pt>
                <c:pt idx="12">
                  <c:v>73.529411764705884</c:v>
                </c:pt>
                <c:pt idx="13">
                  <c:v>69.444444444444443</c:v>
                </c:pt>
                <c:pt idx="14">
                  <c:v>65.78947368421052</c:v>
                </c:pt>
                <c:pt idx="15">
                  <c:v>62.5</c:v>
                </c:pt>
                <c:pt idx="16">
                  <c:v>59.523809523809526</c:v>
                </c:pt>
                <c:pt idx="17">
                  <c:v>56.81818181818182</c:v>
                </c:pt>
                <c:pt idx="18">
                  <c:v>54.347826086956523</c:v>
                </c:pt>
                <c:pt idx="19">
                  <c:v>52.083333333333336</c:v>
                </c:pt>
                <c:pt idx="20">
                  <c:v>50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9FD7-45B9-B6F7-C835AA9E7AEF}"/>
            </c:ext>
          </c:extLst>
        </c:ser>
        <c:ser>
          <c:idx val="6"/>
          <c:order val="6"/>
          <c:tx>
            <c:strRef>
              <c:f>Sheet1!$B$10</c:f>
              <c:strCache>
                <c:ptCount val="1"/>
                <c:pt idx="0">
                  <c:v>300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Sheet1!$C$10:$W$10</c:f>
              <c:numCache>
                <c:formatCode>0</c:formatCode>
                <c:ptCount val="21"/>
                <c:pt idx="0">
                  <c:v>300</c:v>
                </c:pt>
                <c:pt idx="1">
                  <c:v>257.14285714285717</c:v>
                </c:pt>
                <c:pt idx="2">
                  <c:v>225</c:v>
                </c:pt>
                <c:pt idx="3">
                  <c:v>200</c:v>
                </c:pt>
                <c:pt idx="4">
                  <c:v>180</c:v>
                </c:pt>
                <c:pt idx="5">
                  <c:v>163.63636363636363</c:v>
                </c:pt>
                <c:pt idx="6">
                  <c:v>150</c:v>
                </c:pt>
                <c:pt idx="7">
                  <c:v>138.46153846153845</c:v>
                </c:pt>
                <c:pt idx="8">
                  <c:v>128.57142857142858</c:v>
                </c:pt>
                <c:pt idx="9">
                  <c:v>120</c:v>
                </c:pt>
                <c:pt idx="10">
                  <c:v>112.5</c:v>
                </c:pt>
                <c:pt idx="11">
                  <c:v>105.88235294117646</c:v>
                </c:pt>
                <c:pt idx="12">
                  <c:v>100</c:v>
                </c:pt>
                <c:pt idx="13">
                  <c:v>94.736842105263165</c:v>
                </c:pt>
                <c:pt idx="14">
                  <c:v>90</c:v>
                </c:pt>
                <c:pt idx="15">
                  <c:v>85.714285714285708</c:v>
                </c:pt>
                <c:pt idx="16">
                  <c:v>81.818181818181813</c:v>
                </c:pt>
                <c:pt idx="17">
                  <c:v>78.260869565217391</c:v>
                </c:pt>
                <c:pt idx="18">
                  <c:v>75</c:v>
                </c:pt>
                <c:pt idx="19">
                  <c:v>72</c:v>
                </c:pt>
                <c:pt idx="20">
                  <c:v>69.230769230769226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9FD7-45B9-B6F7-C835AA9E7AEF}"/>
            </c:ext>
          </c:extLst>
        </c:ser>
        <c:ser>
          <c:idx val="7"/>
          <c:order val="7"/>
          <c:tx>
            <c:strRef>
              <c:f>Sheet1!$B$11</c:f>
              <c:strCache>
                <c:ptCount val="1"/>
                <c:pt idx="0">
                  <c:v>350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Sheet1!$C$11:$W$11</c:f>
              <c:numCache>
                <c:formatCode>0</c:formatCode>
                <c:ptCount val="21"/>
                <c:pt idx="0">
                  <c:v>350</c:v>
                </c:pt>
                <c:pt idx="1">
                  <c:v>306.25</c:v>
                </c:pt>
                <c:pt idx="2">
                  <c:v>272.22222222222223</c:v>
                </c:pt>
                <c:pt idx="3">
                  <c:v>245</c:v>
                </c:pt>
                <c:pt idx="4">
                  <c:v>222.72727272727272</c:v>
                </c:pt>
                <c:pt idx="5">
                  <c:v>204.16666666666666</c:v>
                </c:pt>
                <c:pt idx="6">
                  <c:v>188.46153846153845</c:v>
                </c:pt>
                <c:pt idx="7">
                  <c:v>175</c:v>
                </c:pt>
                <c:pt idx="8">
                  <c:v>163.33333333333334</c:v>
                </c:pt>
                <c:pt idx="9">
                  <c:v>153.125</c:v>
                </c:pt>
                <c:pt idx="10">
                  <c:v>144.11764705882354</c:v>
                </c:pt>
                <c:pt idx="11">
                  <c:v>136.11111111111111</c:v>
                </c:pt>
                <c:pt idx="12">
                  <c:v>128.94736842105263</c:v>
                </c:pt>
                <c:pt idx="13">
                  <c:v>122.5</c:v>
                </c:pt>
                <c:pt idx="14">
                  <c:v>116.66666666666667</c:v>
                </c:pt>
                <c:pt idx="15">
                  <c:v>111.36363636363636</c:v>
                </c:pt>
                <c:pt idx="16">
                  <c:v>106.52173913043478</c:v>
                </c:pt>
                <c:pt idx="17">
                  <c:v>102.08333333333333</c:v>
                </c:pt>
                <c:pt idx="18">
                  <c:v>98</c:v>
                </c:pt>
                <c:pt idx="19">
                  <c:v>94.230769230769226</c:v>
                </c:pt>
                <c:pt idx="20">
                  <c:v>90.740740740740748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9FD7-45B9-B6F7-C835AA9E7AEF}"/>
            </c:ext>
          </c:extLst>
        </c:ser>
        <c:ser>
          <c:idx val="8"/>
          <c:order val="8"/>
          <c:tx>
            <c:strRef>
              <c:f>Sheet1!$B$12</c:f>
              <c:strCache>
                <c:ptCount val="1"/>
                <c:pt idx="0">
                  <c:v>400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Sheet1!$C$12:$W$12</c:f>
              <c:numCache>
                <c:formatCode>0</c:formatCode>
                <c:ptCount val="21"/>
                <c:pt idx="0">
                  <c:v>400</c:v>
                </c:pt>
                <c:pt idx="1">
                  <c:v>355.55555555555554</c:v>
                </c:pt>
                <c:pt idx="2">
                  <c:v>320</c:v>
                </c:pt>
                <c:pt idx="3">
                  <c:v>290.90909090909093</c:v>
                </c:pt>
                <c:pt idx="4">
                  <c:v>266.66666666666669</c:v>
                </c:pt>
                <c:pt idx="5">
                  <c:v>246.15384615384616</c:v>
                </c:pt>
                <c:pt idx="6">
                  <c:v>228.57142857142858</c:v>
                </c:pt>
                <c:pt idx="7">
                  <c:v>213.33333333333334</c:v>
                </c:pt>
                <c:pt idx="8">
                  <c:v>200</c:v>
                </c:pt>
                <c:pt idx="9">
                  <c:v>188.23529411764707</c:v>
                </c:pt>
                <c:pt idx="10">
                  <c:v>177.77777777777777</c:v>
                </c:pt>
                <c:pt idx="11">
                  <c:v>168.42105263157896</c:v>
                </c:pt>
                <c:pt idx="12">
                  <c:v>160</c:v>
                </c:pt>
                <c:pt idx="13">
                  <c:v>152.38095238095238</c:v>
                </c:pt>
                <c:pt idx="14">
                  <c:v>145.45454545454547</c:v>
                </c:pt>
                <c:pt idx="15">
                  <c:v>139.13043478260869</c:v>
                </c:pt>
                <c:pt idx="16">
                  <c:v>133.33333333333334</c:v>
                </c:pt>
                <c:pt idx="17">
                  <c:v>128</c:v>
                </c:pt>
                <c:pt idx="18">
                  <c:v>123.07692307692308</c:v>
                </c:pt>
                <c:pt idx="19">
                  <c:v>118.51851851851852</c:v>
                </c:pt>
                <c:pt idx="20">
                  <c:v>114.28571428571429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9FD7-45B9-B6F7-C835AA9E7AEF}"/>
            </c:ext>
          </c:extLst>
        </c:ser>
        <c:ser>
          <c:idx val="9"/>
          <c:order val="9"/>
          <c:tx>
            <c:strRef>
              <c:f>Sheet1!$B$13</c:f>
              <c:strCache>
                <c:ptCount val="1"/>
                <c:pt idx="0">
                  <c:v>450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Sheet1!$C$13:$W$13</c:f>
              <c:numCache>
                <c:formatCode>0</c:formatCode>
                <c:ptCount val="21"/>
                <c:pt idx="0">
                  <c:v>450</c:v>
                </c:pt>
                <c:pt idx="1">
                  <c:v>405</c:v>
                </c:pt>
                <c:pt idx="2">
                  <c:v>368.18181818181819</c:v>
                </c:pt>
                <c:pt idx="3">
                  <c:v>337.5</c:v>
                </c:pt>
                <c:pt idx="4">
                  <c:v>311.53846153846155</c:v>
                </c:pt>
                <c:pt idx="5">
                  <c:v>289.28571428571428</c:v>
                </c:pt>
                <c:pt idx="6">
                  <c:v>270</c:v>
                </c:pt>
                <c:pt idx="7">
                  <c:v>253.125</c:v>
                </c:pt>
                <c:pt idx="8">
                  <c:v>238.23529411764707</c:v>
                </c:pt>
                <c:pt idx="9">
                  <c:v>225</c:v>
                </c:pt>
                <c:pt idx="10">
                  <c:v>213.15789473684211</c:v>
                </c:pt>
                <c:pt idx="11">
                  <c:v>202.5</c:v>
                </c:pt>
                <c:pt idx="12">
                  <c:v>192.85714285714286</c:v>
                </c:pt>
                <c:pt idx="13">
                  <c:v>184.09090909090909</c:v>
                </c:pt>
                <c:pt idx="14">
                  <c:v>176.08695652173913</c:v>
                </c:pt>
                <c:pt idx="15">
                  <c:v>168.75</c:v>
                </c:pt>
                <c:pt idx="16">
                  <c:v>162</c:v>
                </c:pt>
                <c:pt idx="17">
                  <c:v>155.76923076923077</c:v>
                </c:pt>
                <c:pt idx="18">
                  <c:v>150</c:v>
                </c:pt>
                <c:pt idx="19">
                  <c:v>144.64285714285714</c:v>
                </c:pt>
                <c:pt idx="20">
                  <c:v>139.65517241379311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9FD7-45B9-B6F7-C835AA9E7AEF}"/>
            </c:ext>
          </c:extLst>
        </c:ser>
        <c:ser>
          <c:idx val="10"/>
          <c:order val="10"/>
          <c:tx>
            <c:strRef>
              <c:f>Sheet1!$B$14</c:f>
              <c:strCache>
                <c:ptCount val="1"/>
                <c:pt idx="0">
                  <c:v>500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Sheet1!$C$14:$W$14</c:f>
              <c:numCache>
                <c:formatCode>0</c:formatCode>
                <c:ptCount val="21"/>
                <c:pt idx="0">
                  <c:v>500</c:v>
                </c:pt>
                <c:pt idx="1">
                  <c:v>454.54545454545456</c:v>
                </c:pt>
                <c:pt idx="2">
                  <c:v>416.66666666666669</c:v>
                </c:pt>
                <c:pt idx="3">
                  <c:v>384.61538461538464</c:v>
                </c:pt>
                <c:pt idx="4">
                  <c:v>357.14285714285717</c:v>
                </c:pt>
                <c:pt idx="5">
                  <c:v>333.33333333333331</c:v>
                </c:pt>
                <c:pt idx="6">
                  <c:v>312.5</c:v>
                </c:pt>
                <c:pt idx="7">
                  <c:v>294.11764705882354</c:v>
                </c:pt>
                <c:pt idx="8">
                  <c:v>277.77777777777777</c:v>
                </c:pt>
                <c:pt idx="9">
                  <c:v>263.15789473684208</c:v>
                </c:pt>
                <c:pt idx="10">
                  <c:v>250</c:v>
                </c:pt>
                <c:pt idx="11">
                  <c:v>238.0952380952381</c:v>
                </c:pt>
                <c:pt idx="12">
                  <c:v>227.27272727272728</c:v>
                </c:pt>
                <c:pt idx="13">
                  <c:v>217.39130434782609</c:v>
                </c:pt>
                <c:pt idx="14">
                  <c:v>208.33333333333334</c:v>
                </c:pt>
                <c:pt idx="15">
                  <c:v>200</c:v>
                </c:pt>
                <c:pt idx="16">
                  <c:v>192.30769230769232</c:v>
                </c:pt>
                <c:pt idx="17">
                  <c:v>185.18518518518519</c:v>
                </c:pt>
                <c:pt idx="18">
                  <c:v>178.57142857142858</c:v>
                </c:pt>
                <c:pt idx="19">
                  <c:v>172.41379310344828</c:v>
                </c:pt>
                <c:pt idx="20">
                  <c:v>166.66666666666666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9FD7-45B9-B6F7-C835AA9E7AEF}"/>
            </c:ext>
          </c:extLst>
        </c:ser>
        <c:ser>
          <c:idx val="11"/>
          <c:order val="11"/>
          <c:tx>
            <c:strRef>
              <c:f>Sheet1!$B$15</c:f>
              <c:strCache>
                <c:ptCount val="1"/>
                <c:pt idx="0">
                  <c:v>550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Sheet1!$C$15:$W$15</c:f>
              <c:numCache>
                <c:formatCode>0</c:formatCode>
                <c:ptCount val="21"/>
                <c:pt idx="0">
                  <c:v>550</c:v>
                </c:pt>
                <c:pt idx="1">
                  <c:v>504.16666666666669</c:v>
                </c:pt>
                <c:pt idx="2">
                  <c:v>465.38461538461536</c:v>
                </c:pt>
                <c:pt idx="3">
                  <c:v>432.14285714285717</c:v>
                </c:pt>
                <c:pt idx="4">
                  <c:v>403.33333333333331</c:v>
                </c:pt>
                <c:pt idx="5">
                  <c:v>378.125</c:v>
                </c:pt>
                <c:pt idx="6">
                  <c:v>355.88235294117646</c:v>
                </c:pt>
                <c:pt idx="7">
                  <c:v>336.11111111111109</c:v>
                </c:pt>
                <c:pt idx="8">
                  <c:v>318.42105263157896</c:v>
                </c:pt>
                <c:pt idx="9">
                  <c:v>302.5</c:v>
                </c:pt>
                <c:pt idx="10">
                  <c:v>288.09523809523807</c:v>
                </c:pt>
                <c:pt idx="11">
                  <c:v>275</c:v>
                </c:pt>
                <c:pt idx="12">
                  <c:v>263.04347826086956</c:v>
                </c:pt>
                <c:pt idx="13">
                  <c:v>252.08333333333334</c:v>
                </c:pt>
                <c:pt idx="14">
                  <c:v>242</c:v>
                </c:pt>
                <c:pt idx="15">
                  <c:v>232.69230769230768</c:v>
                </c:pt>
                <c:pt idx="16">
                  <c:v>224.07407407407408</c:v>
                </c:pt>
                <c:pt idx="17">
                  <c:v>216.07142857142858</c:v>
                </c:pt>
                <c:pt idx="18">
                  <c:v>208.62068965517241</c:v>
                </c:pt>
                <c:pt idx="19">
                  <c:v>201.66666666666666</c:v>
                </c:pt>
                <c:pt idx="20">
                  <c:v>195.16129032258064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9FD7-45B9-B6F7-C835AA9E7AEF}"/>
            </c:ext>
          </c:extLst>
        </c:ser>
        <c:ser>
          <c:idx val="12"/>
          <c:order val="12"/>
          <c:tx>
            <c:strRef>
              <c:f>Sheet1!$B$16</c:f>
              <c:strCache>
                <c:ptCount val="1"/>
                <c:pt idx="0">
                  <c:v>600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Sheet1!$C$16:$W$16</c:f>
              <c:numCache>
                <c:formatCode>0</c:formatCode>
                <c:ptCount val="21"/>
                <c:pt idx="0">
                  <c:v>600</c:v>
                </c:pt>
                <c:pt idx="1">
                  <c:v>553.84615384615381</c:v>
                </c:pt>
                <c:pt idx="2">
                  <c:v>514.28571428571433</c:v>
                </c:pt>
                <c:pt idx="3">
                  <c:v>480</c:v>
                </c:pt>
                <c:pt idx="4">
                  <c:v>450</c:v>
                </c:pt>
                <c:pt idx="5">
                  <c:v>423.52941176470586</c:v>
                </c:pt>
                <c:pt idx="6">
                  <c:v>400</c:v>
                </c:pt>
                <c:pt idx="7">
                  <c:v>378.94736842105266</c:v>
                </c:pt>
                <c:pt idx="8">
                  <c:v>360</c:v>
                </c:pt>
                <c:pt idx="9">
                  <c:v>342.85714285714283</c:v>
                </c:pt>
                <c:pt idx="10">
                  <c:v>327.27272727272725</c:v>
                </c:pt>
                <c:pt idx="11">
                  <c:v>313.04347826086956</c:v>
                </c:pt>
                <c:pt idx="12">
                  <c:v>300</c:v>
                </c:pt>
                <c:pt idx="13">
                  <c:v>288</c:v>
                </c:pt>
                <c:pt idx="14">
                  <c:v>276.92307692307691</c:v>
                </c:pt>
                <c:pt idx="15">
                  <c:v>266.66666666666669</c:v>
                </c:pt>
                <c:pt idx="16">
                  <c:v>257.14285714285717</c:v>
                </c:pt>
                <c:pt idx="17">
                  <c:v>248.27586206896552</c:v>
                </c:pt>
                <c:pt idx="18">
                  <c:v>240</c:v>
                </c:pt>
                <c:pt idx="19">
                  <c:v>232.25806451612902</c:v>
                </c:pt>
                <c:pt idx="20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9FD7-45B9-B6F7-C835AA9E7AEF}"/>
            </c:ext>
          </c:extLst>
        </c:ser>
        <c:ser>
          <c:idx val="13"/>
          <c:order val="13"/>
          <c:tx>
            <c:strRef>
              <c:f>Sheet1!$B$17</c:f>
              <c:strCache>
                <c:ptCount val="1"/>
                <c:pt idx="0">
                  <c:v>650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Sheet1!$C$17:$W$17</c:f>
              <c:numCache>
                <c:formatCode>0</c:formatCode>
                <c:ptCount val="21"/>
                <c:pt idx="0">
                  <c:v>650</c:v>
                </c:pt>
                <c:pt idx="1">
                  <c:v>603.57142857142856</c:v>
                </c:pt>
                <c:pt idx="2">
                  <c:v>563.33333333333337</c:v>
                </c:pt>
                <c:pt idx="3">
                  <c:v>528.125</c:v>
                </c:pt>
                <c:pt idx="4">
                  <c:v>497.05882352941177</c:v>
                </c:pt>
                <c:pt idx="5">
                  <c:v>469.44444444444446</c:v>
                </c:pt>
                <c:pt idx="6">
                  <c:v>444.73684210526318</c:v>
                </c:pt>
                <c:pt idx="7">
                  <c:v>422.5</c:v>
                </c:pt>
                <c:pt idx="8">
                  <c:v>402.38095238095241</c:v>
                </c:pt>
                <c:pt idx="9">
                  <c:v>384.09090909090907</c:v>
                </c:pt>
                <c:pt idx="10">
                  <c:v>367.39130434782606</c:v>
                </c:pt>
                <c:pt idx="11">
                  <c:v>352.08333333333331</c:v>
                </c:pt>
                <c:pt idx="12">
                  <c:v>338</c:v>
                </c:pt>
                <c:pt idx="13">
                  <c:v>325</c:v>
                </c:pt>
                <c:pt idx="14">
                  <c:v>312.96296296296299</c:v>
                </c:pt>
                <c:pt idx="15">
                  <c:v>301.78571428571428</c:v>
                </c:pt>
                <c:pt idx="16">
                  <c:v>291.37931034482756</c:v>
                </c:pt>
                <c:pt idx="17">
                  <c:v>281.66666666666669</c:v>
                </c:pt>
                <c:pt idx="18">
                  <c:v>272.58064516129031</c:v>
                </c:pt>
                <c:pt idx="19">
                  <c:v>264.0625</c:v>
                </c:pt>
                <c:pt idx="20">
                  <c:v>256.06060606060606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9FD7-45B9-B6F7-C835AA9E7AEF}"/>
            </c:ext>
          </c:extLst>
        </c:ser>
        <c:ser>
          <c:idx val="14"/>
          <c:order val="14"/>
          <c:tx>
            <c:strRef>
              <c:f>Sheet1!$B$18</c:f>
              <c:strCache>
                <c:ptCount val="1"/>
                <c:pt idx="0">
                  <c:v>700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Sheet1!$C$18:$W$18</c:f>
              <c:numCache>
                <c:formatCode>0</c:formatCode>
                <c:ptCount val="21"/>
                <c:pt idx="0">
                  <c:v>700</c:v>
                </c:pt>
                <c:pt idx="1">
                  <c:v>653.33333333333337</c:v>
                </c:pt>
                <c:pt idx="2">
                  <c:v>612.5</c:v>
                </c:pt>
                <c:pt idx="3">
                  <c:v>576.47058823529414</c:v>
                </c:pt>
                <c:pt idx="4">
                  <c:v>544.44444444444446</c:v>
                </c:pt>
                <c:pt idx="5">
                  <c:v>515.78947368421052</c:v>
                </c:pt>
                <c:pt idx="6">
                  <c:v>490</c:v>
                </c:pt>
                <c:pt idx="7">
                  <c:v>466.66666666666669</c:v>
                </c:pt>
                <c:pt idx="8">
                  <c:v>445.45454545454544</c:v>
                </c:pt>
                <c:pt idx="9">
                  <c:v>426.08695652173913</c:v>
                </c:pt>
                <c:pt idx="10">
                  <c:v>408.33333333333331</c:v>
                </c:pt>
                <c:pt idx="11">
                  <c:v>392</c:v>
                </c:pt>
                <c:pt idx="12">
                  <c:v>376.92307692307691</c:v>
                </c:pt>
                <c:pt idx="13">
                  <c:v>362.96296296296299</c:v>
                </c:pt>
                <c:pt idx="14">
                  <c:v>350</c:v>
                </c:pt>
                <c:pt idx="15">
                  <c:v>337.93103448275861</c:v>
                </c:pt>
                <c:pt idx="16">
                  <c:v>326.66666666666669</c:v>
                </c:pt>
                <c:pt idx="17">
                  <c:v>316.12903225806451</c:v>
                </c:pt>
                <c:pt idx="18">
                  <c:v>306.25</c:v>
                </c:pt>
                <c:pt idx="19">
                  <c:v>296.969696969697</c:v>
                </c:pt>
                <c:pt idx="20">
                  <c:v>288.23529411764707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9FD7-45B9-B6F7-C835AA9E7AEF}"/>
            </c:ext>
          </c:extLst>
        </c:ser>
        <c:ser>
          <c:idx val="15"/>
          <c:order val="15"/>
          <c:tx>
            <c:strRef>
              <c:f>Sheet1!$B$19</c:f>
              <c:strCache>
                <c:ptCount val="1"/>
                <c:pt idx="0">
                  <c:v>750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Sheet1!$C$19:$W$19</c:f>
              <c:numCache>
                <c:formatCode>0</c:formatCode>
                <c:ptCount val="21"/>
                <c:pt idx="0">
                  <c:v>750</c:v>
                </c:pt>
                <c:pt idx="1">
                  <c:v>703.125</c:v>
                </c:pt>
                <c:pt idx="2">
                  <c:v>661.76470588235293</c:v>
                </c:pt>
                <c:pt idx="3">
                  <c:v>625</c:v>
                </c:pt>
                <c:pt idx="4">
                  <c:v>592.10526315789468</c:v>
                </c:pt>
                <c:pt idx="5">
                  <c:v>562.5</c:v>
                </c:pt>
                <c:pt idx="6">
                  <c:v>535.71428571428567</c:v>
                </c:pt>
                <c:pt idx="7">
                  <c:v>511.36363636363637</c:v>
                </c:pt>
                <c:pt idx="8">
                  <c:v>489.13043478260869</c:v>
                </c:pt>
                <c:pt idx="9">
                  <c:v>468.75</c:v>
                </c:pt>
                <c:pt idx="10">
                  <c:v>450</c:v>
                </c:pt>
                <c:pt idx="11">
                  <c:v>432.69230769230768</c:v>
                </c:pt>
                <c:pt idx="12">
                  <c:v>416.66666666666669</c:v>
                </c:pt>
                <c:pt idx="13">
                  <c:v>401.78571428571428</c:v>
                </c:pt>
                <c:pt idx="14">
                  <c:v>387.93103448275861</c:v>
                </c:pt>
                <c:pt idx="15">
                  <c:v>375</c:v>
                </c:pt>
                <c:pt idx="16">
                  <c:v>362.90322580645159</c:v>
                </c:pt>
                <c:pt idx="17">
                  <c:v>351.5625</c:v>
                </c:pt>
                <c:pt idx="18">
                  <c:v>340.90909090909093</c:v>
                </c:pt>
                <c:pt idx="19">
                  <c:v>330.88235294117646</c:v>
                </c:pt>
                <c:pt idx="20">
                  <c:v>321.42857142857144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9FD7-45B9-B6F7-C835AA9E7AEF}"/>
            </c:ext>
          </c:extLst>
        </c:ser>
        <c:ser>
          <c:idx val="16"/>
          <c:order val="16"/>
          <c:tx>
            <c:strRef>
              <c:f>Sheet1!$B$20</c:f>
              <c:strCache>
                <c:ptCount val="1"/>
                <c:pt idx="0">
                  <c:v>800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Sheet1!$C$20:$W$20</c:f>
              <c:numCache>
                <c:formatCode>0</c:formatCode>
                <c:ptCount val="21"/>
                <c:pt idx="0">
                  <c:v>800</c:v>
                </c:pt>
                <c:pt idx="1">
                  <c:v>752.94117647058829</c:v>
                </c:pt>
                <c:pt idx="2">
                  <c:v>711.11111111111109</c:v>
                </c:pt>
                <c:pt idx="3">
                  <c:v>673.68421052631584</c:v>
                </c:pt>
                <c:pt idx="4">
                  <c:v>640</c:v>
                </c:pt>
                <c:pt idx="5">
                  <c:v>609.52380952380952</c:v>
                </c:pt>
                <c:pt idx="6">
                  <c:v>581.81818181818187</c:v>
                </c:pt>
                <c:pt idx="7">
                  <c:v>556.52173913043475</c:v>
                </c:pt>
                <c:pt idx="8">
                  <c:v>533.33333333333337</c:v>
                </c:pt>
                <c:pt idx="9">
                  <c:v>512</c:v>
                </c:pt>
                <c:pt idx="10">
                  <c:v>492.30769230769232</c:v>
                </c:pt>
                <c:pt idx="11">
                  <c:v>474.07407407407408</c:v>
                </c:pt>
                <c:pt idx="12">
                  <c:v>457.14285714285717</c:v>
                </c:pt>
                <c:pt idx="13">
                  <c:v>441.37931034482756</c:v>
                </c:pt>
                <c:pt idx="14">
                  <c:v>426.66666666666669</c:v>
                </c:pt>
                <c:pt idx="15">
                  <c:v>412.90322580645159</c:v>
                </c:pt>
                <c:pt idx="16">
                  <c:v>400</c:v>
                </c:pt>
                <c:pt idx="17">
                  <c:v>387.87878787878788</c:v>
                </c:pt>
                <c:pt idx="18">
                  <c:v>376.47058823529414</c:v>
                </c:pt>
                <c:pt idx="19">
                  <c:v>365.71428571428572</c:v>
                </c:pt>
                <c:pt idx="20">
                  <c:v>355.55555555555554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9FD7-45B9-B6F7-C835AA9E7AEF}"/>
            </c:ext>
          </c:extLst>
        </c:ser>
        <c:ser>
          <c:idx val="17"/>
          <c:order val="17"/>
          <c:tx>
            <c:strRef>
              <c:f>Sheet1!$B$21</c:f>
              <c:strCache>
                <c:ptCount val="1"/>
                <c:pt idx="0">
                  <c:v>850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Sheet1!$C$21:$W$21</c:f>
              <c:numCache>
                <c:formatCode>0</c:formatCode>
                <c:ptCount val="21"/>
                <c:pt idx="0">
                  <c:v>850</c:v>
                </c:pt>
                <c:pt idx="1">
                  <c:v>802.77777777777783</c:v>
                </c:pt>
                <c:pt idx="2">
                  <c:v>760.52631578947364</c:v>
                </c:pt>
                <c:pt idx="3">
                  <c:v>722.5</c:v>
                </c:pt>
                <c:pt idx="4">
                  <c:v>688.09523809523807</c:v>
                </c:pt>
                <c:pt idx="5">
                  <c:v>656.81818181818187</c:v>
                </c:pt>
                <c:pt idx="6">
                  <c:v>628.26086956521738</c:v>
                </c:pt>
                <c:pt idx="7">
                  <c:v>602.08333333333337</c:v>
                </c:pt>
                <c:pt idx="8">
                  <c:v>578</c:v>
                </c:pt>
                <c:pt idx="9">
                  <c:v>555.76923076923072</c:v>
                </c:pt>
                <c:pt idx="10">
                  <c:v>535.18518518518522</c:v>
                </c:pt>
                <c:pt idx="11">
                  <c:v>516.07142857142856</c:v>
                </c:pt>
                <c:pt idx="12">
                  <c:v>498.27586206896552</c:v>
                </c:pt>
                <c:pt idx="13">
                  <c:v>481.66666666666669</c:v>
                </c:pt>
                <c:pt idx="14">
                  <c:v>466.12903225806451</c:v>
                </c:pt>
                <c:pt idx="15">
                  <c:v>451.5625</c:v>
                </c:pt>
                <c:pt idx="16">
                  <c:v>437.87878787878788</c:v>
                </c:pt>
                <c:pt idx="17">
                  <c:v>425</c:v>
                </c:pt>
                <c:pt idx="18">
                  <c:v>412.85714285714283</c:v>
                </c:pt>
                <c:pt idx="19">
                  <c:v>401.38888888888891</c:v>
                </c:pt>
                <c:pt idx="20">
                  <c:v>390.54054054054052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9FD7-45B9-B6F7-C835AA9E7AEF}"/>
            </c:ext>
          </c:extLst>
        </c:ser>
        <c:ser>
          <c:idx val="18"/>
          <c:order val="18"/>
          <c:tx>
            <c:strRef>
              <c:f>Sheet1!$B$22</c:f>
              <c:strCache>
                <c:ptCount val="1"/>
                <c:pt idx="0">
                  <c:v>900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Sheet1!$C$22:$W$22</c:f>
              <c:numCache>
                <c:formatCode>0</c:formatCode>
                <c:ptCount val="21"/>
                <c:pt idx="0">
                  <c:v>900</c:v>
                </c:pt>
                <c:pt idx="1">
                  <c:v>852.63157894736844</c:v>
                </c:pt>
                <c:pt idx="2">
                  <c:v>810</c:v>
                </c:pt>
                <c:pt idx="3">
                  <c:v>771.42857142857144</c:v>
                </c:pt>
                <c:pt idx="4">
                  <c:v>736.36363636363637</c:v>
                </c:pt>
                <c:pt idx="5">
                  <c:v>704.3478260869565</c:v>
                </c:pt>
                <c:pt idx="6">
                  <c:v>675</c:v>
                </c:pt>
                <c:pt idx="7">
                  <c:v>648</c:v>
                </c:pt>
                <c:pt idx="8">
                  <c:v>623.07692307692309</c:v>
                </c:pt>
                <c:pt idx="9">
                  <c:v>600</c:v>
                </c:pt>
                <c:pt idx="10">
                  <c:v>578.57142857142856</c:v>
                </c:pt>
                <c:pt idx="11">
                  <c:v>558.62068965517244</c:v>
                </c:pt>
                <c:pt idx="12">
                  <c:v>540</c:v>
                </c:pt>
                <c:pt idx="13">
                  <c:v>522.58064516129036</c:v>
                </c:pt>
                <c:pt idx="14">
                  <c:v>506.25</c:v>
                </c:pt>
                <c:pt idx="15">
                  <c:v>490.90909090909093</c:v>
                </c:pt>
                <c:pt idx="16">
                  <c:v>476.47058823529414</c:v>
                </c:pt>
                <c:pt idx="17">
                  <c:v>462.85714285714283</c:v>
                </c:pt>
                <c:pt idx="18">
                  <c:v>450</c:v>
                </c:pt>
                <c:pt idx="19">
                  <c:v>437.83783783783781</c:v>
                </c:pt>
                <c:pt idx="20">
                  <c:v>426.31578947368422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9FD7-45B9-B6F7-C835AA9E7AEF}"/>
            </c:ext>
          </c:extLst>
        </c:ser>
        <c:ser>
          <c:idx val="19"/>
          <c:order val="19"/>
          <c:tx>
            <c:strRef>
              <c:f>Sheet1!$B$23</c:f>
              <c:strCache>
                <c:ptCount val="1"/>
                <c:pt idx="0">
                  <c:v>950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Sheet1!$C$23:$W$23</c:f>
              <c:numCache>
                <c:formatCode>0</c:formatCode>
                <c:ptCount val="21"/>
                <c:pt idx="0">
                  <c:v>950</c:v>
                </c:pt>
                <c:pt idx="1">
                  <c:v>902.5</c:v>
                </c:pt>
                <c:pt idx="2">
                  <c:v>859.52380952380952</c:v>
                </c:pt>
                <c:pt idx="3">
                  <c:v>820.4545454545455</c:v>
                </c:pt>
                <c:pt idx="4">
                  <c:v>784.78260869565213</c:v>
                </c:pt>
                <c:pt idx="5">
                  <c:v>752.08333333333337</c:v>
                </c:pt>
                <c:pt idx="6">
                  <c:v>722</c:v>
                </c:pt>
                <c:pt idx="7">
                  <c:v>694.23076923076928</c:v>
                </c:pt>
                <c:pt idx="8">
                  <c:v>668.51851851851848</c:v>
                </c:pt>
                <c:pt idx="9">
                  <c:v>644.64285714285711</c:v>
                </c:pt>
                <c:pt idx="10">
                  <c:v>622.41379310344826</c:v>
                </c:pt>
                <c:pt idx="11">
                  <c:v>601.66666666666663</c:v>
                </c:pt>
                <c:pt idx="12">
                  <c:v>582.25806451612902</c:v>
                </c:pt>
                <c:pt idx="13">
                  <c:v>564.0625</c:v>
                </c:pt>
                <c:pt idx="14">
                  <c:v>546.969696969697</c:v>
                </c:pt>
                <c:pt idx="15">
                  <c:v>530.88235294117646</c:v>
                </c:pt>
                <c:pt idx="16">
                  <c:v>515.71428571428567</c:v>
                </c:pt>
                <c:pt idx="17">
                  <c:v>501.38888888888891</c:v>
                </c:pt>
                <c:pt idx="18">
                  <c:v>487.83783783783781</c:v>
                </c:pt>
                <c:pt idx="19">
                  <c:v>475</c:v>
                </c:pt>
                <c:pt idx="20">
                  <c:v>462.82051282051282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9FD7-45B9-B6F7-C835AA9E7AEF}"/>
            </c:ext>
          </c:extLst>
        </c:ser>
        <c:ser>
          <c:idx val="20"/>
          <c:order val="20"/>
          <c:tx>
            <c:strRef>
              <c:f>Sheet1!$B$24</c:f>
              <c:strCache>
                <c:ptCount val="1"/>
                <c:pt idx="0">
                  <c:v>1000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Sheet1!$C$3:$W$3</c:f>
              <c:numCache>
                <c:formatCode>General</c:formatCode>
                <c:ptCount val="21"/>
                <c:pt idx="0">
                  <c:v>0</c:v>
                </c:pt>
                <c:pt idx="1">
                  <c:v>50</c:v>
                </c:pt>
                <c:pt idx="2">
                  <c:v>100</c:v>
                </c:pt>
                <c:pt idx="3">
                  <c:v>150</c:v>
                </c:pt>
                <c:pt idx="4">
                  <c:v>200</c:v>
                </c:pt>
                <c:pt idx="5">
                  <c:v>250</c:v>
                </c:pt>
                <c:pt idx="6">
                  <c:v>300</c:v>
                </c:pt>
                <c:pt idx="7">
                  <c:v>350</c:v>
                </c:pt>
                <c:pt idx="8">
                  <c:v>400</c:v>
                </c:pt>
                <c:pt idx="9">
                  <c:v>450</c:v>
                </c:pt>
                <c:pt idx="10">
                  <c:v>500</c:v>
                </c:pt>
                <c:pt idx="11">
                  <c:v>550</c:v>
                </c:pt>
                <c:pt idx="12">
                  <c:v>600</c:v>
                </c:pt>
                <c:pt idx="13">
                  <c:v>650</c:v>
                </c:pt>
                <c:pt idx="14">
                  <c:v>700</c:v>
                </c:pt>
                <c:pt idx="15">
                  <c:v>750</c:v>
                </c:pt>
                <c:pt idx="16">
                  <c:v>800</c:v>
                </c:pt>
                <c:pt idx="17">
                  <c:v>850</c:v>
                </c:pt>
                <c:pt idx="18">
                  <c:v>900</c:v>
                </c:pt>
                <c:pt idx="19">
                  <c:v>950</c:v>
                </c:pt>
                <c:pt idx="20">
                  <c:v>1000</c:v>
                </c:pt>
              </c:numCache>
            </c:numRef>
          </c:xVal>
          <c:yVal>
            <c:numRef>
              <c:f>Sheet1!$C$24:$W$24</c:f>
              <c:numCache>
                <c:formatCode>0</c:formatCode>
                <c:ptCount val="21"/>
                <c:pt idx="0">
                  <c:v>1000</c:v>
                </c:pt>
                <c:pt idx="1">
                  <c:v>952.38095238095241</c:v>
                </c:pt>
                <c:pt idx="2">
                  <c:v>909.09090909090912</c:v>
                </c:pt>
                <c:pt idx="3">
                  <c:v>869.56521739130437</c:v>
                </c:pt>
                <c:pt idx="4">
                  <c:v>833.33333333333337</c:v>
                </c:pt>
                <c:pt idx="5">
                  <c:v>800</c:v>
                </c:pt>
                <c:pt idx="6">
                  <c:v>769.23076923076928</c:v>
                </c:pt>
                <c:pt idx="7">
                  <c:v>740.74074074074076</c:v>
                </c:pt>
                <c:pt idx="8">
                  <c:v>714.28571428571433</c:v>
                </c:pt>
                <c:pt idx="9">
                  <c:v>689.65517241379314</c:v>
                </c:pt>
                <c:pt idx="10">
                  <c:v>666.66666666666663</c:v>
                </c:pt>
                <c:pt idx="11">
                  <c:v>645.16129032258061</c:v>
                </c:pt>
                <c:pt idx="12">
                  <c:v>625</c:v>
                </c:pt>
                <c:pt idx="13">
                  <c:v>606.06060606060601</c:v>
                </c:pt>
                <c:pt idx="14">
                  <c:v>588.23529411764707</c:v>
                </c:pt>
                <c:pt idx="15">
                  <c:v>571.42857142857144</c:v>
                </c:pt>
                <c:pt idx="16">
                  <c:v>555.55555555555554</c:v>
                </c:pt>
                <c:pt idx="17">
                  <c:v>540.54054054054052</c:v>
                </c:pt>
                <c:pt idx="18">
                  <c:v>526.31578947368416</c:v>
                </c:pt>
                <c:pt idx="19">
                  <c:v>512.82051282051282</c:v>
                </c:pt>
                <c:pt idx="20">
                  <c:v>500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9FD7-45B9-B6F7-C835AA9E7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904608"/>
        <c:axId val="186357056"/>
      </c:scatterChart>
      <c:valAx>
        <c:axId val="175904608"/>
        <c:scaling>
          <c:orientation val="minMax"/>
          <c:max val="1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防御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86357056"/>
        <c:crosses val="autoZero"/>
        <c:crossBetween val="midCat"/>
      </c:valAx>
      <c:valAx>
        <c:axId val="18635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ja-JP" altLang="en-US"/>
                  <a:t>ダメージ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ja-JP"/>
            </a:p>
          </c:txPr>
        </c:title>
        <c:numFmt formatCode="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1759046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198126</xdr:colOff>
      <xdr:row>30</xdr:row>
      <xdr:rowOff>114306</xdr:rowOff>
    </xdr:from>
    <xdr:to>
      <xdr:col>10</xdr:col>
      <xdr:colOff>22866</xdr:colOff>
      <xdr:row>42</xdr:row>
      <xdr:rowOff>114306</xdr:rowOff>
    </xdr:to>
    <xdr:graphicFrame macro="">
      <xdr:nvGraphicFramePr>
        <xdr:cNvPr id="4" name="グラフ 3">
          <a:extLst>
            <a:ext uri="{FF2B5EF4-FFF2-40B4-BE49-F238E27FC236}">
              <a16:creationId xmlns:a16="http://schemas.microsoft.com/office/drawing/2014/main" id="{B235B822-C424-08A6-432A-BCCCF7723BE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244E8-D276-4835-B9E6-D0F759881D1F}">
  <dimension ref="A2:BQ55"/>
  <sheetViews>
    <sheetView tabSelected="1" zoomScaleNormal="100" workbookViewId="0">
      <pane xSplit="2" ySplit="3" topLeftCell="C43" activePane="bottomRight" state="frozen"/>
      <selection pane="topRight" activeCell="C1" sqref="C1"/>
      <selection pane="bottomLeft" activeCell="A4" sqref="A4"/>
      <selection pane="bottomRight" activeCell="E49" sqref="E49"/>
    </sheetView>
  </sheetViews>
  <sheetFormatPr defaultRowHeight="18" x14ac:dyDescent="0.45"/>
  <cols>
    <col min="3" max="3" width="9.8984375" bestFit="1" customWidth="1"/>
    <col min="4" max="23" width="8.8984375" bestFit="1" customWidth="1"/>
  </cols>
  <sheetData>
    <row r="2" spans="1:69" x14ac:dyDescent="0.45">
      <c r="A2" t="s">
        <v>6</v>
      </c>
      <c r="C2" t="s">
        <v>0</v>
      </c>
      <c r="Y2" t="s">
        <v>8</v>
      </c>
      <c r="AV2" t="s">
        <v>7</v>
      </c>
    </row>
    <row r="3" spans="1:69" x14ac:dyDescent="0.45">
      <c r="C3">
        <v>0</v>
      </c>
      <c r="D3">
        <v>50</v>
      </c>
      <c r="E3">
        <v>100</v>
      </c>
      <c r="F3">
        <v>150</v>
      </c>
      <c r="G3">
        <v>200</v>
      </c>
      <c r="H3">
        <v>250</v>
      </c>
      <c r="I3">
        <v>300</v>
      </c>
      <c r="J3">
        <v>350</v>
      </c>
      <c r="K3">
        <v>400</v>
      </c>
      <c r="L3">
        <v>450</v>
      </c>
      <c r="M3">
        <v>500</v>
      </c>
      <c r="N3">
        <v>550</v>
      </c>
      <c r="O3">
        <v>600</v>
      </c>
      <c r="P3">
        <v>650</v>
      </c>
      <c r="Q3">
        <v>700</v>
      </c>
      <c r="R3">
        <v>750</v>
      </c>
      <c r="S3">
        <v>800</v>
      </c>
      <c r="T3">
        <v>850</v>
      </c>
      <c r="U3">
        <v>900</v>
      </c>
      <c r="V3">
        <v>950</v>
      </c>
      <c r="W3">
        <v>1000</v>
      </c>
      <c r="Z3">
        <f>C3</f>
        <v>0</v>
      </c>
      <c r="AA3">
        <f t="shared" ref="AA3:AT3" si="0">D3</f>
        <v>50</v>
      </c>
      <c r="AB3">
        <f t="shared" si="0"/>
        <v>100</v>
      </c>
      <c r="AC3">
        <f t="shared" si="0"/>
        <v>150</v>
      </c>
      <c r="AD3">
        <f t="shared" si="0"/>
        <v>200</v>
      </c>
      <c r="AE3">
        <f t="shared" si="0"/>
        <v>250</v>
      </c>
      <c r="AF3">
        <f t="shared" si="0"/>
        <v>300</v>
      </c>
      <c r="AG3">
        <f t="shared" si="0"/>
        <v>350</v>
      </c>
      <c r="AH3">
        <f t="shared" si="0"/>
        <v>400</v>
      </c>
      <c r="AI3">
        <f t="shared" si="0"/>
        <v>450</v>
      </c>
      <c r="AJ3">
        <f t="shared" si="0"/>
        <v>500</v>
      </c>
      <c r="AK3">
        <f t="shared" si="0"/>
        <v>550</v>
      </c>
      <c r="AL3">
        <f t="shared" si="0"/>
        <v>600</v>
      </c>
      <c r="AM3">
        <f t="shared" si="0"/>
        <v>650</v>
      </c>
      <c r="AN3">
        <f t="shared" si="0"/>
        <v>700</v>
      </c>
      <c r="AO3">
        <f t="shared" si="0"/>
        <v>750</v>
      </c>
      <c r="AP3">
        <f t="shared" si="0"/>
        <v>800</v>
      </c>
      <c r="AQ3">
        <f t="shared" si="0"/>
        <v>850</v>
      </c>
      <c r="AR3">
        <f t="shared" si="0"/>
        <v>900</v>
      </c>
      <c r="AS3">
        <f t="shared" si="0"/>
        <v>950</v>
      </c>
      <c r="AT3">
        <f t="shared" si="0"/>
        <v>1000</v>
      </c>
      <c r="AW3">
        <f>Z3</f>
        <v>0</v>
      </c>
      <c r="AX3">
        <f t="shared" ref="AX3:BQ3" si="1">AA3</f>
        <v>50</v>
      </c>
      <c r="AY3">
        <f t="shared" si="1"/>
        <v>100</v>
      </c>
      <c r="AZ3">
        <f t="shared" si="1"/>
        <v>150</v>
      </c>
      <c r="BA3">
        <f t="shared" si="1"/>
        <v>200</v>
      </c>
      <c r="BB3">
        <f t="shared" si="1"/>
        <v>250</v>
      </c>
      <c r="BC3">
        <f t="shared" si="1"/>
        <v>300</v>
      </c>
      <c r="BD3">
        <f t="shared" si="1"/>
        <v>350</v>
      </c>
      <c r="BE3">
        <f t="shared" si="1"/>
        <v>400</v>
      </c>
      <c r="BF3">
        <f t="shared" si="1"/>
        <v>450</v>
      </c>
      <c r="BG3">
        <f t="shared" si="1"/>
        <v>500</v>
      </c>
      <c r="BH3">
        <f t="shared" si="1"/>
        <v>550</v>
      </c>
      <c r="BI3">
        <f t="shared" si="1"/>
        <v>600</v>
      </c>
      <c r="BJ3">
        <f t="shared" si="1"/>
        <v>650</v>
      </c>
      <c r="BK3">
        <f t="shared" si="1"/>
        <v>700</v>
      </c>
      <c r="BL3">
        <f t="shared" si="1"/>
        <v>750</v>
      </c>
      <c r="BM3">
        <f t="shared" si="1"/>
        <v>800</v>
      </c>
      <c r="BN3">
        <f t="shared" si="1"/>
        <v>850</v>
      </c>
      <c r="BO3">
        <f t="shared" si="1"/>
        <v>900</v>
      </c>
      <c r="BP3">
        <f t="shared" si="1"/>
        <v>950</v>
      </c>
      <c r="BQ3">
        <f t="shared" si="1"/>
        <v>1000</v>
      </c>
    </row>
    <row r="4" spans="1:69" x14ac:dyDescent="0.45">
      <c r="A4" t="s">
        <v>1</v>
      </c>
      <c r="B4">
        <v>0</v>
      </c>
      <c r="C4" s="2" t="e">
        <f>$B4^2/($B4+C$3)</f>
        <v>#DIV/0!</v>
      </c>
      <c r="D4" s="2">
        <f t="shared" ref="D4:W9" si="2">$B4^2/($B4+D$3)</f>
        <v>0</v>
      </c>
      <c r="E4" s="2">
        <f t="shared" si="2"/>
        <v>0</v>
      </c>
      <c r="F4" s="2">
        <f t="shared" si="2"/>
        <v>0</v>
      </c>
      <c r="G4" s="2">
        <f t="shared" si="2"/>
        <v>0</v>
      </c>
      <c r="H4" s="2">
        <f t="shared" si="2"/>
        <v>0</v>
      </c>
      <c r="I4" s="2">
        <f t="shared" si="2"/>
        <v>0</v>
      </c>
      <c r="J4" s="2">
        <f t="shared" si="2"/>
        <v>0</v>
      </c>
      <c r="K4" s="2">
        <f t="shared" si="2"/>
        <v>0</v>
      </c>
      <c r="L4" s="2">
        <f t="shared" si="2"/>
        <v>0</v>
      </c>
      <c r="M4" s="2">
        <f t="shared" si="2"/>
        <v>0</v>
      </c>
      <c r="N4" s="2">
        <f t="shared" si="2"/>
        <v>0</v>
      </c>
      <c r="O4" s="2">
        <f t="shared" si="2"/>
        <v>0</v>
      </c>
      <c r="P4" s="2">
        <f t="shared" si="2"/>
        <v>0</v>
      </c>
      <c r="Q4" s="2">
        <f t="shared" si="2"/>
        <v>0</v>
      </c>
      <c r="R4" s="2">
        <f t="shared" si="2"/>
        <v>0</v>
      </c>
      <c r="S4" s="2">
        <f t="shared" si="2"/>
        <v>0</v>
      </c>
      <c r="T4" s="2">
        <f t="shared" si="2"/>
        <v>0</v>
      </c>
      <c r="U4" s="2">
        <f t="shared" si="2"/>
        <v>0</v>
      </c>
      <c r="V4" s="2">
        <f t="shared" si="2"/>
        <v>0</v>
      </c>
      <c r="W4" s="2">
        <f t="shared" si="2"/>
        <v>0</v>
      </c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1" t="e">
        <f>C4/$B4</f>
        <v>#DIV/0!</v>
      </c>
      <c r="AX4" s="1" t="e">
        <f t="shared" ref="AX4:BQ16" si="3">D4/$B4</f>
        <v>#DIV/0!</v>
      </c>
      <c r="AY4" s="1" t="e">
        <f t="shared" si="3"/>
        <v>#DIV/0!</v>
      </c>
      <c r="AZ4" s="1" t="e">
        <f t="shared" si="3"/>
        <v>#DIV/0!</v>
      </c>
      <c r="BA4" s="1" t="e">
        <f t="shared" si="3"/>
        <v>#DIV/0!</v>
      </c>
      <c r="BB4" s="1" t="e">
        <f t="shared" si="3"/>
        <v>#DIV/0!</v>
      </c>
      <c r="BC4" s="1" t="e">
        <f t="shared" si="3"/>
        <v>#DIV/0!</v>
      </c>
      <c r="BD4" s="1" t="e">
        <f t="shared" si="3"/>
        <v>#DIV/0!</v>
      </c>
      <c r="BE4" s="1" t="e">
        <f t="shared" si="3"/>
        <v>#DIV/0!</v>
      </c>
      <c r="BF4" s="1" t="e">
        <f t="shared" si="3"/>
        <v>#DIV/0!</v>
      </c>
      <c r="BG4" s="1" t="e">
        <f t="shared" si="3"/>
        <v>#DIV/0!</v>
      </c>
      <c r="BH4" s="1" t="e">
        <f t="shared" si="3"/>
        <v>#DIV/0!</v>
      </c>
      <c r="BI4" s="1" t="e">
        <f t="shared" si="3"/>
        <v>#DIV/0!</v>
      </c>
      <c r="BJ4" s="1" t="e">
        <f t="shared" si="3"/>
        <v>#DIV/0!</v>
      </c>
      <c r="BK4" s="1" t="e">
        <f t="shared" si="3"/>
        <v>#DIV/0!</v>
      </c>
      <c r="BL4" s="1" t="e">
        <f t="shared" si="3"/>
        <v>#DIV/0!</v>
      </c>
      <c r="BM4" s="1" t="e">
        <f t="shared" si="3"/>
        <v>#DIV/0!</v>
      </c>
      <c r="BN4" s="1" t="e">
        <f t="shared" si="3"/>
        <v>#DIV/0!</v>
      </c>
      <c r="BO4" s="1" t="e">
        <f t="shared" si="3"/>
        <v>#DIV/0!</v>
      </c>
      <c r="BP4" s="1" t="e">
        <f t="shared" si="3"/>
        <v>#DIV/0!</v>
      </c>
      <c r="BQ4" s="1" t="e">
        <f t="shared" si="3"/>
        <v>#DIV/0!</v>
      </c>
    </row>
    <row r="5" spans="1:69" x14ac:dyDescent="0.45">
      <c r="B5">
        <v>50</v>
      </c>
      <c r="C5" s="2">
        <f t="shared" ref="C5:R24" si="4">$B5^2/($B5+C$3)</f>
        <v>50</v>
      </c>
      <c r="D5" s="2">
        <f t="shared" si="4"/>
        <v>25</v>
      </c>
      <c r="E5" s="2">
        <f t="shared" si="4"/>
        <v>16.666666666666668</v>
      </c>
      <c r="F5" s="2">
        <f t="shared" si="4"/>
        <v>12.5</v>
      </c>
      <c r="G5" s="2">
        <f t="shared" si="4"/>
        <v>10</v>
      </c>
      <c r="H5" s="2">
        <f t="shared" si="4"/>
        <v>8.3333333333333339</v>
      </c>
      <c r="I5" s="2">
        <f t="shared" si="4"/>
        <v>7.1428571428571432</v>
      </c>
      <c r="J5" s="2">
        <f t="shared" si="4"/>
        <v>6.25</v>
      </c>
      <c r="K5" s="2">
        <f t="shared" si="4"/>
        <v>5.5555555555555554</v>
      </c>
      <c r="L5" s="2">
        <f t="shared" si="4"/>
        <v>5</v>
      </c>
      <c r="M5" s="2">
        <f t="shared" si="4"/>
        <v>4.5454545454545459</v>
      </c>
      <c r="N5" s="2">
        <f t="shared" si="4"/>
        <v>4.166666666666667</v>
      </c>
      <c r="O5" s="2">
        <f t="shared" si="4"/>
        <v>3.8461538461538463</v>
      </c>
      <c r="P5" s="2">
        <f t="shared" si="4"/>
        <v>3.5714285714285716</v>
      </c>
      <c r="Q5" s="2">
        <f t="shared" si="4"/>
        <v>3.3333333333333335</v>
      </c>
      <c r="R5" s="2">
        <f t="shared" si="4"/>
        <v>3.125</v>
      </c>
      <c r="S5" s="2">
        <f t="shared" si="2"/>
        <v>2.9411764705882355</v>
      </c>
      <c r="T5" s="2">
        <f t="shared" si="2"/>
        <v>2.7777777777777777</v>
      </c>
      <c r="U5" s="2">
        <f t="shared" si="2"/>
        <v>2.6315789473684212</v>
      </c>
      <c r="V5" s="2">
        <f t="shared" si="2"/>
        <v>2.5</v>
      </c>
      <c r="W5" s="2">
        <f t="shared" si="2"/>
        <v>2.3809523809523809</v>
      </c>
      <c r="X5" s="2"/>
      <c r="Y5" s="2"/>
      <c r="Z5" s="1" t="e">
        <f>C5/C4</f>
        <v>#DIV/0!</v>
      </c>
      <c r="AA5" s="1" t="e">
        <f t="shared" ref="AA5:AT17" si="5">D5/D4</f>
        <v>#DIV/0!</v>
      </c>
      <c r="AB5" s="1" t="e">
        <f t="shared" si="5"/>
        <v>#DIV/0!</v>
      </c>
      <c r="AC5" s="1" t="e">
        <f t="shared" si="5"/>
        <v>#DIV/0!</v>
      </c>
      <c r="AD5" s="1" t="e">
        <f t="shared" si="5"/>
        <v>#DIV/0!</v>
      </c>
      <c r="AE5" s="1" t="e">
        <f t="shared" si="5"/>
        <v>#DIV/0!</v>
      </c>
      <c r="AF5" s="1" t="e">
        <f t="shared" si="5"/>
        <v>#DIV/0!</v>
      </c>
      <c r="AG5" s="1" t="e">
        <f t="shared" si="5"/>
        <v>#DIV/0!</v>
      </c>
      <c r="AH5" s="1" t="e">
        <f t="shared" si="5"/>
        <v>#DIV/0!</v>
      </c>
      <c r="AI5" s="1" t="e">
        <f t="shared" si="5"/>
        <v>#DIV/0!</v>
      </c>
      <c r="AJ5" s="1" t="e">
        <f t="shared" si="5"/>
        <v>#DIV/0!</v>
      </c>
      <c r="AK5" s="1" t="e">
        <f t="shared" si="5"/>
        <v>#DIV/0!</v>
      </c>
      <c r="AL5" s="1" t="e">
        <f t="shared" si="5"/>
        <v>#DIV/0!</v>
      </c>
      <c r="AM5" s="1" t="e">
        <f t="shared" si="5"/>
        <v>#DIV/0!</v>
      </c>
      <c r="AN5" s="1" t="e">
        <f t="shared" si="5"/>
        <v>#DIV/0!</v>
      </c>
      <c r="AO5" s="1" t="e">
        <f t="shared" si="5"/>
        <v>#DIV/0!</v>
      </c>
      <c r="AP5" s="1" t="e">
        <f t="shared" si="5"/>
        <v>#DIV/0!</v>
      </c>
      <c r="AQ5" s="1" t="e">
        <f t="shared" si="5"/>
        <v>#DIV/0!</v>
      </c>
      <c r="AR5" s="1" t="e">
        <f t="shared" si="5"/>
        <v>#DIV/0!</v>
      </c>
      <c r="AS5" s="1" t="e">
        <f t="shared" si="5"/>
        <v>#DIV/0!</v>
      </c>
      <c r="AT5" s="1" t="e">
        <f t="shared" si="5"/>
        <v>#DIV/0!</v>
      </c>
      <c r="AU5" s="2"/>
      <c r="AV5" s="2"/>
      <c r="AW5" s="1">
        <f t="shared" ref="AW5:AW24" si="6">C5/$B5</f>
        <v>1</v>
      </c>
      <c r="AX5" s="1">
        <f t="shared" si="3"/>
        <v>0.5</v>
      </c>
      <c r="AY5" s="1">
        <f t="shared" si="3"/>
        <v>0.33333333333333337</v>
      </c>
      <c r="AZ5" s="1">
        <f t="shared" si="3"/>
        <v>0.25</v>
      </c>
      <c r="BA5" s="1">
        <f t="shared" si="3"/>
        <v>0.2</v>
      </c>
      <c r="BB5" s="1">
        <f t="shared" si="3"/>
        <v>0.16666666666666669</v>
      </c>
      <c r="BC5" s="1">
        <f t="shared" si="3"/>
        <v>0.14285714285714288</v>
      </c>
      <c r="BD5" s="1">
        <f t="shared" si="3"/>
        <v>0.125</v>
      </c>
      <c r="BE5" s="1">
        <f t="shared" si="3"/>
        <v>0.1111111111111111</v>
      </c>
      <c r="BF5" s="1">
        <f t="shared" si="3"/>
        <v>0.1</v>
      </c>
      <c r="BG5" s="1">
        <f t="shared" si="3"/>
        <v>9.0909090909090912E-2</v>
      </c>
      <c r="BH5" s="1">
        <f t="shared" si="3"/>
        <v>8.3333333333333343E-2</v>
      </c>
      <c r="BI5" s="1">
        <f t="shared" si="3"/>
        <v>7.6923076923076927E-2</v>
      </c>
      <c r="BJ5" s="1">
        <f t="shared" si="3"/>
        <v>7.1428571428571438E-2</v>
      </c>
      <c r="BK5" s="1">
        <f t="shared" si="3"/>
        <v>6.6666666666666666E-2</v>
      </c>
      <c r="BL5" s="1">
        <f t="shared" si="3"/>
        <v>6.25E-2</v>
      </c>
      <c r="BM5" s="1">
        <f t="shared" si="3"/>
        <v>5.8823529411764712E-2</v>
      </c>
      <c r="BN5" s="1">
        <f t="shared" si="3"/>
        <v>5.5555555555555552E-2</v>
      </c>
      <c r="BO5" s="1">
        <f t="shared" si="3"/>
        <v>5.2631578947368425E-2</v>
      </c>
      <c r="BP5" s="1">
        <f t="shared" si="3"/>
        <v>0.05</v>
      </c>
      <c r="BQ5" s="1">
        <f t="shared" si="3"/>
        <v>4.7619047619047616E-2</v>
      </c>
    </row>
    <row r="6" spans="1:69" x14ac:dyDescent="0.45">
      <c r="B6">
        <v>100</v>
      </c>
      <c r="C6" s="2">
        <f t="shared" si="4"/>
        <v>100</v>
      </c>
      <c r="D6" s="2">
        <f t="shared" si="2"/>
        <v>66.666666666666671</v>
      </c>
      <c r="E6" s="2">
        <f t="shared" si="2"/>
        <v>50</v>
      </c>
      <c r="F6" s="2">
        <f t="shared" si="2"/>
        <v>40</v>
      </c>
      <c r="G6" s="2">
        <f t="shared" si="2"/>
        <v>33.333333333333336</v>
      </c>
      <c r="H6" s="2">
        <f t="shared" si="2"/>
        <v>28.571428571428573</v>
      </c>
      <c r="I6" s="2">
        <f t="shared" si="2"/>
        <v>25</v>
      </c>
      <c r="J6" s="2">
        <f t="shared" si="2"/>
        <v>22.222222222222221</v>
      </c>
      <c r="K6" s="2">
        <f t="shared" si="2"/>
        <v>20</v>
      </c>
      <c r="L6" s="2">
        <f t="shared" si="2"/>
        <v>18.181818181818183</v>
      </c>
      <c r="M6" s="2">
        <f t="shared" si="2"/>
        <v>16.666666666666668</v>
      </c>
      <c r="N6" s="2">
        <f t="shared" si="2"/>
        <v>15.384615384615385</v>
      </c>
      <c r="O6" s="2">
        <f t="shared" si="2"/>
        <v>14.285714285714286</v>
      </c>
      <c r="P6" s="2">
        <f t="shared" si="2"/>
        <v>13.333333333333334</v>
      </c>
      <c r="Q6" s="2">
        <f t="shared" si="2"/>
        <v>12.5</v>
      </c>
      <c r="R6" s="2">
        <f t="shared" si="2"/>
        <v>11.764705882352942</v>
      </c>
      <c r="S6" s="2">
        <f t="shared" si="2"/>
        <v>11.111111111111111</v>
      </c>
      <c r="T6" s="2">
        <f t="shared" si="2"/>
        <v>10.526315789473685</v>
      </c>
      <c r="U6" s="2">
        <f t="shared" si="2"/>
        <v>10</v>
      </c>
      <c r="V6" s="2">
        <f t="shared" si="2"/>
        <v>9.5238095238095237</v>
      </c>
      <c r="W6" s="2">
        <f t="shared" si="2"/>
        <v>9.0909090909090917</v>
      </c>
      <c r="X6" s="2"/>
      <c r="Y6" s="2"/>
      <c r="Z6" s="1">
        <f t="shared" ref="Z6:Z24" si="7">C6/C5</f>
        <v>2</v>
      </c>
      <c r="AA6" s="1">
        <f t="shared" si="5"/>
        <v>2.666666666666667</v>
      </c>
      <c r="AB6" s="1">
        <f t="shared" si="5"/>
        <v>3</v>
      </c>
      <c r="AC6" s="1">
        <f t="shared" si="5"/>
        <v>3.2</v>
      </c>
      <c r="AD6" s="1">
        <f t="shared" si="5"/>
        <v>3.3333333333333335</v>
      </c>
      <c r="AE6" s="1">
        <f t="shared" si="5"/>
        <v>3.4285714285714284</v>
      </c>
      <c r="AF6" s="1">
        <f t="shared" si="5"/>
        <v>3.5</v>
      </c>
      <c r="AG6" s="1">
        <f t="shared" si="5"/>
        <v>3.5555555555555554</v>
      </c>
      <c r="AH6" s="1">
        <f t="shared" si="5"/>
        <v>3.6</v>
      </c>
      <c r="AI6" s="1">
        <f t="shared" si="5"/>
        <v>3.6363636363636367</v>
      </c>
      <c r="AJ6" s="1">
        <f t="shared" si="5"/>
        <v>3.6666666666666665</v>
      </c>
      <c r="AK6" s="1">
        <f t="shared" si="5"/>
        <v>3.6923076923076921</v>
      </c>
      <c r="AL6" s="1">
        <f t="shared" si="5"/>
        <v>3.7142857142857144</v>
      </c>
      <c r="AM6" s="1">
        <f t="shared" si="5"/>
        <v>3.7333333333333334</v>
      </c>
      <c r="AN6" s="1">
        <f t="shared" si="5"/>
        <v>3.75</v>
      </c>
      <c r="AO6" s="1">
        <f t="shared" si="5"/>
        <v>3.7647058823529416</v>
      </c>
      <c r="AP6" s="1">
        <f t="shared" si="5"/>
        <v>3.7777777777777772</v>
      </c>
      <c r="AQ6" s="1">
        <f t="shared" si="5"/>
        <v>3.7894736842105265</v>
      </c>
      <c r="AR6" s="1">
        <f t="shared" si="5"/>
        <v>3.8</v>
      </c>
      <c r="AS6" s="1">
        <f t="shared" si="5"/>
        <v>3.8095238095238093</v>
      </c>
      <c r="AT6" s="1">
        <f t="shared" si="5"/>
        <v>3.8181818181818183</v>
      </c>
      <c r="AU6" s="2"/>
      <c r="AV6" s="2"/>
      <c r="AW6" s="1">
        <f t="shared" si="6"/>
        <v>1</v>
      </c>
      <c r="AX6" s="1">
        <f t="shared" si="3"/>
        <v>0.66666666666666674</v>
      </c>
      <c r="AY6" s="1">
        <f t="shared" si="3"/>
        <v>0.5</v>
      </c>
      <c r="AZ6" s="1">
        <f t="shared" si="3"/>
        <v>0.4</v>
      </c>
      <c r="BA6" s="1">
        <f t="shared" si="3"/>
        <v>0.33333333333333337</v>
      </c>
      <c r="BB6" s="1">
        <f t="shared" si="3"/>
        <v>0.28571428571428575</v>
      </c>
      <c r="BC6" s="1">
        <f t="shared" si="3"/>
        <v>0.25</v>
      </c>
      <c r="BD6" s="1">
        <f t="shared" si="3"/>
        <v>0.22222222222222221</v>
      </c>
      <c r="BE6" s="1">
        <f t="shared" si="3"/>
        <v>0.2</v>
      </c>
      <c r="BF6" s="1">
        <f t="shared" si="3"/>
        <v>0.18181818181818182</v>
      </c>
      <c r="BG6" s="1">
        <f t="shared" si="3"/>
        <v>0.16666666666666669</v>
      </c>
      <c r="BH6" s="1">
        <f t="shared" si="3"/>
        <v>0.15384615384615385</v>
      </c>
      <c r="BI6" s="1">
        <f t="shared" si="3"/>
        <v>0.14285714285714288</v>
      </c>
      <c r="BJ6" s="1">
        <f t="shared" si="3"/>
        <v>0.13333333333333333</v>
      </c>
      <c r="BK6" s="1">
        <f t="shared" si="3"/>
        <v>0.125</v>
      </c>
      <c r="BL6" s="1">
        <f t="shared" si="3"/>
        <v>0.11764705882352942</v>
      </c>
      <c r="BM6" s="1">
        <f t="shared" si="3"/>
        <v>0.1111111111111111</v>
      </c>
      <c r="BN6" s="1">
        <f t="shared" si="3"/>
        <v>0.10526315789473685</v>
      </c>
      <c r="BO6" s="1">
        <f t="shared" si="3"/>
        <v>0.1</v>
      </c>
      <c r="BP6" s="1">
        <f t="shared" si="3"/>
        <v>9.5238095238095233E-2</v>
      </c>
      <c r="BQ6" s="1">
        <f t="shared" si="3"/>
        <v>9.0909090909090912E-2</v>
      </c>
    </row>
    <row r="7" spans="1:69" x14ac:dyDescent="0.45">
      <c r="B7">
        <v>150</v>
      </c>
      <c r="C7" s="2">
        <f t="shared" si="4"/>
        <v>150</v>
      </c>
      <c r="D7" s="2">
        <f t="shared" si="2"/>
        <v>112.5</v>
      </c>
      <c r="E7" s="2">
        <f t="shared" si="2"/>
        <v>90</v>
      </c>
      <c r="F7" s="2">
        <f t="shared" si="2"/>
        <v>75</v>
      </c>
      <c r="G7" s="2">
        <f t="shared" si="2"/>
        <v>64.285714285714292</v>
      </c>
      <c r="H7" s="2">
        <f t="shared" si="2"/>
        <v>56.25</v>
      </c>
      <c r="I7" s="2">
        <f t="shared" si="2"/>
        <v>50</v>
      </c>
      <c r="J7" s="2">
        <f t="shared" si="2"/>
        <v>45</v>
      </c>
      <c r="K7" s="2">
        <f t="shared" si="2"/>
        <v>40.909090909090907</v>
      </c>
      <c r="L7" s="2">
        <f t="shared" si="2"/>
        <v>37.5</v>
      </c>
      <c r="M7" s="2">
        <f t="shared" si="2"/>
        <v>34.615384615384613</v>
      </c>
      <c r="N7" s="2">
        <f t="shared" si="2"/>
        <v>32.142857142857146</v>
      </c>
      <c r="O7" s="2">
        <f t="shared" si="2"/>
        <v>30</v>
      </c>
      <c r="P7" s="2">
        <f t="shared" si="2"/>
        <v>28.125</v>
      </c>
      <c r="Q7" s="2">
        <f t="shared" si="2"/>
        <v>26.470588235294116</v>
      </c>
      <c r="R7" s="2">
        <f t="shared" si="2"/>
        <v>25</v>
      </c>
      <c r="S7" s="2">
        <f t="shared" si="2"/>
        <v>23.684210526315791</v>
      </c>
      <c r="T7" s="2">
        <f t="shared" si="2"/>
        <v>22.5</v>
      </c>
      <c r="U7" s="2">
        <f t="shared" si="2"/>
        <v>21.428571428571427</v>
      </c>
      <c r="V7" s="2">
        <f t="shared" si="2"/>
        <v>20.454545454545453</v>
      </c>
      <c r="W7" s="2">
        <f t="shared" si="2"/>
        <v>19.565217391304348</v>
      </c>
      <c r="X7" s="2"/>
      <c r="Y7" s="2"/>
      <c r="Z7" s="1">
        <f t="shared" si="7"/>
        <v>1.5</v>
      </c>
      <c r="AA7" s="1">
        <f t="shared" si="5"/>
        <v>1.6874999999999998</v>
      </c>
      <c r="AB7" s="1">
        <f t="shared" si="5"/>
        <v>1.8</v>
      </c>
      <c r="AC7" s="1">
        <f t="shared" si="5"/>
        <v>1.875</v>
      </c>
      <c r="AD7" s="1">
        <f t="shared" si="5"/>
        <v>1.9285714285714286</v>
      </c>
      <c r="AE7" s="1">
        <f t="shared" si="5"/>
        <v>1.96875</v>
      </c>
      <c r="AF7" s="1">
        <f t="shared" si="5"/>
        <v>2</v>
      </c>
      <c r="AG7" s="1">
        <f t="shared" si="5"/>
        <v>2.0249999999999999</v>
      </c>
      <c r="AH7" s="1">
        <f t="shared" si="5"/>
        <v>2.0454545454545454</v>
      </c>
      <c r="AI7" s="1">
        <f t="shared" si="5"/>
        <v>2.0625</v>
      </c>
      <c r="AJ7" s="1">
        <f t="shared" si="5"/>
        <v>2.0769230769230766</v>
      </c>
      <c r="AK7" s="1">
        <f t="shared" si="5"/>
        <v>2.0892857142857144</v>
      </c>
      <c r="AL7" s="1">
        <f t="shared" si="5"/>
        <v>2.1</v>
      </c>
      <c r="AM7" s="1">
        <f t="shared" si="5"/>
        <v>2.109375</v>
      </c>
      <c r="AN7" s="1">
        <f t="shared" si="5"/>
        <v>2.1176470588235294</v>
      </c>
      <c r="AO7" s="1">
        <f t="shared" si="5"/>
        <v>2.125</v>
      </c>
      <c r="AP7" s="1">
        <f t="shared" si="5"/>
        <v>2.1315789473684212</v>
      </c>
      <c r="AQ7" s="1">
        <f t="shared" si="5"/>
        <v>2.1374999999999997</v>
      </c>
      <c r="AR7" s="1">
        <f t="shared" si="5"/>
        <v>2.1428571428571428</v>
      </c>
      <c r="AS7" s="1">
        <f t="shared" si="5"/>
        <v>2.1477272727272725</v>
      </c>
      <c r="AT7" s="1">
        <f t="shared" si="5"/>
        <v>2.152173913043478</v>
      </c>
      <c r="AU7" s="2"/>
      <c r="AV7" s="2"/>
      <c r="AW7" s="1">
        <f t="shared" si="6"/>
        <v>1</v>
      </c>
      <c r="AX7" s="1">
        <f t="shared" si="3"/>
        <v>0.75</v>
      </c>
      <c r="AY7" s="1">
        <f t="shared" si="3"/>
        <v>0.6</v>
      </c>
      <c r="AZ7" s="1">
        <f t="shared" si="3"/>
        <v>0.5</v>
      </c>
      <c r="BA7" s="1">
        <f t="shared" si="3"/>
        <v>0.4285714285714286</v>
      </c>
      <c r="BB7" s="1">
        <f t="shared" si="3"/>
        <v>0.375</v>
      </c>
      <c r="BC7" s="1">
        <f t="shared" si="3"/>
        <v>0.33333333333333331</v>
      </c>
      <c r="BD7" s="1">
        <f t="shared" si="3"/>
        <v>0.3</v>
      </c>
      <c r="BE7" s="1">
        <f t="shared" si="3"/>
        <v>0.27272727272727271</v>
      </c>
      <c r="BF7" s="1">
        <f t="shared" si="3"/>
        <v>0.25</v>
      </c>
      <c r="BG7" s="1">
        <f t="shared" si="3"/>
        <v>0.23076923076923075</v>
      </c>
      <c r="BH7" s="1">
        <f t="shared" si="3"/>
        <v>0.2142857142857143</v>
      </c>
      <c r="BI7" s="1">
        <f t="shared" si="3"/>
        <v>0.2</v>
      </c>
      <c r="BJ7" s="1">
        <f t="shared" si="3"/>
        <v>0.1875</v>
      </c>
      <c r="BK7" s="1">
        <f t="shared" si="3"/>
        <v>0.1764705882352941</v>
      </c>
      <c r="BL7" s="1">
        <f t="shared" si="3"/>
        <v>0.16666666666666666</v>
      </c>
      <c r="BM7" s="1">
        <f t="shared" si="3"/>
        <v>0.15789473684210528</v>
      </c>
      <c r="BN7" s="1">
        <f t="shared" si="3"/>
        <v>0.15</v>
      </c>
      <c r="BO7" s="1">
        <f t="shared" si="3"/>
        <v>0.14285714285714285</v>
      </c>
      <c r="BP7" s="1">
        <f t="shared" si="3"/>
        <v>0.13636363636363635</v>
      </c>
      <c r="BQ7" s="1">
        <f t="shared" si="3"/>
        <v>0.13043478260869565</v>
      </c>
    </row>
    <row r="8" spans="1:69" x14ac:dyDescent="0.45">
      <c r="B8">
        <v>200</v>
      </c>
      <c r="C8" s="2">
        <f t="shared" si="4"/>
        <v>200</v>
      </c>
      <c r="D8" s="2">
        <f t="shared" si="2"/>
        <v>160</v>
      </c>
      <c r="E8" s="2">
        <f t="shared" si="2"/>
        <v>133.33333333333334</v>
      </c>
      <c r="F8" s="2">
        <f t="shared" si="2"/>
        <v>114.28571428571429</v>
      </c>
      <c r="G8" s="2">
        <f t="shared" si="2"/>
        <v>100</v>
      </c>
      <c r="H8" s="2">
        <f t="shared" si="2"/>
        <v>88.888888888888886</v>
      </c>
      <c r="I8" s="2">
        <f t="shared" si="2"/>
        <v>80</v>
      </c>
      <c r="J8" s="2">
        <f t="shared" si="2"/>
        <v>72.727272727272734</v>
      </c>
      <c r="K8" s="2">
        <f t="shared" si="2"/>
        <v>66.666666666666671</v>
      </c>
      <c r="L8" s="2">
        <f t="shared" si="2"/>
        <v>61.53846153846154</v>
      </c>
      <c r="M8" s="2">
        <f t="shared" si="2"/>
        <v>57.142857142857146</v>
      </c>
      <c r="N8" s="2">
        <f t="shared" si="2"/>
        <v>53.333333333333336</v>
      </c>
      <c r="O8" s="2">
        <f t="shared" si="2"/>
        <v>50</v>
      </c>
      <c r="P8" s="2">
        <f t="shared" si="2"/>
        <v>47.058823529411768</v>
      </c>
      <c r="Q8" s="2">
        <f t="shared" si="2"/>
        <v>44.444444444444443</v>
      </c>
      <c r="R8" s="2">
        <f t="shared" si="2"/>
        <v>42.10526315789474</v>
      </c>
      <c r="S8" s="2">
        <f t="shared" si="2"/>
        <v>40</v>
      </c>
      <c r="T8" s="2">
        <f t="shared" si="2"/>
        <v>38.095238095238095</v>
      </c>
      <c r="U8" s="2">
        <f t="shared" si="2"/>
        <v>36.363636363636367</v>
      </c>
      <c r="V8" s="2">
        <f t="shared" si="2"/>
        <v>34.782608695652172</v>
      </c>
      <c r="W8" s="2">
        <f t="shared" si="2"/>
        <v>33.333333333333336</v>
      </c>
      <c r="X8" s="2"/>
      <c r="Y8" s="2"/>
      <c r="Z8" s="1">
        <f t="shared" si="7"/>
        <v>1.3333333333333333</v>
      </c>
      <c r="AA8" s="1">
        <f t="shared" si="5"/>
        <v>1.4222222222222223</v>
      </c>
      <c r="AB8" s="1">
        <f t="shared" si="5"/>
        <v>1.4814814814814816</v>
      </c>
      <c r="AC8" s="1">
        <f t="shared" si="5"/>
        <v>1.5238095238095239</v>
      </c>
      <c r="AD8" s="1">
        <f t="shared" si="5"/>
        <v>1.5555555555555554</v>
      </c>
      <c r="AE8" s="1">
        <f t="shared" si="5"/>
        <v>1.5802469135802468</v>
      </c>
      <c r="AF8" s="1">
        <f t="shared" si="5"/>
        <v>1.6</v>
      </c>
      <c r="AG8" s="1">
        <f t="shared" si="5"/>
        <v>1.6161616161616164</v>
      </c>
      <c r="AH8" s="1">
        <f t="shared" si="5"/>
        <v>1.6296296296296298</v>
      </c>
      <c r="AI8" s="1">
        <f t="shared" si="5"/>
        <v>1.641025641025641</v>
      </c>
      <c r="AJ8" s="1">
        <f t="shared" si="5"/>
        <v>1.6507936507936509</v>
      </c>
      <c r="AK8" s="1">
        <f t="shared" si="5"/>
        <v>1.6592592592592592</v>
      </c>
      <c r="AL8" s="1">
        <f t="shared" si="5"/>
        <v>1.6666666666666667</v>
      </c>
      <c r="AM8" s="1">
        <f t="shared" si="5"/>
        <v>1.673202614379085</v>
      </c>
      <c r="AN8" s="1">
        <f t="shared" si="5"/>
        <v>1.6790123456790125</v>
      </c>
      <c r="AO8" s="1">
        <f t="shared" si="5"/>
        <v>1.6842105263157896</v>
      </c>
      <c r="AP8" s="1">
        <f t="shared" si="5"/>
        <v>1.6888888888888887</v>
      </c>
      <c r="AQ8" s="1">
        <f t="shared" si="5"/>
        <v>1.693121693121693</v>
      </c>
      <c r="AR8" s="1">
        <f t="shared" si="5"/>
        <v>1.6969696969696972</v>
      </c>
      <c r="AS8" s="1">
        <f t="shared" si="5"/>
        <v>1.7004830917874396</v>
      </c>
      <c r="AT8" s="1">
        <f t="shared" si="5"/>
        <v>1.7037037037037039</v>
      </c>
      <c r="AU8" s="2"/>
      <c r="AV8" s="2"/>
      <c r="AW8" s="1">
        <f t="shared" si="6"/>
        <v>1</v>
      </c>
      <c r="AX8" s="1">
        <f t="shared" si="3"/>
        <v>0.8</v>
      </c>
      <c r="AY8" s="1">
        <f t="shared" si="3"/>
        <v>0.66666666666666674</v>
      </c>
      <c r="AZ8" s="1">
        <f t="shared" si="3"/>
        <v>0.57142857142857151</v>
      </c>
      <c r="BA8" s="1">
        <f t="shared" si="3"/>
        <v>0.5</v>
      </c>
      <c r="BB8" s="1">
        <f t="shared" si="3"/>
        <v>0.44444444444444442</v>
      </c>
      <c r="BC8" s="1">
        <f t="shared" si="3"/>
        <v>0.4</v>
      </c>
      <c r="BD8" s="1">
        <f t="shared" si="3"/>
        <v>0.36363636363636365</v>
      </c>
      <c r="BE8" s="1">
        <f t="shared" si="3"/>
        <v>0.33333333333333337</v>
      </c>
      <c r="BF8" s="1">
        <f t="shared" si="3"/>
        <v>0.30769230769230771</v>
      </c>
      <c r="BG8" s="1">
        <f t="shared" si="3"/>
        <v>0.28571428571428575</v>
      </c>
      <c r="BH8" s="1">
        <f t="shared" si="3"/>
        <v>0.26666666666666666</v>
      </c>
      <c r="BI8" s="1">
        <f t="shared" si="3"/>
        <v>0.25</v>
      </c>
      <c r="BJ8" s="1">
        <f t="shared" si="3"/>
        <v>0.23529411764705885</v>
      </c>
      <c r="BK8" s="1">
        <f t="shared" si="3"/>
        <v>0.22222222222222221</v>
      </c>
      <c r="BL8" s="1">
        <f t="shared" si="3"/>
        <v>0.2105263157894737</v>
      </c>
      <c r="BM8" s="1">
        <f t="shared" si="3"/>
        <v>0.2</v>
      </c>
      <c r="BN8" s="1">
        <f t="shared" si="3"/>
        <v>0.19047619047619047</v>
      </c>
      <c r="BO8" s="1">
        <f t="shared" si="3"/>
        <v>0.18181818181818182</v>
      </c>
      <c r="BP8" s="1">
        <f t="shared" si="3"/>
        <v>0.17391304347826086</v>
      </c>
      <c r="BQ8" s="1">
        <f t="shared" si="3"/>
        <v>0.16666666666666669</v>
      </c>
    </row>
    <row r="9" spans="1:69" x14ac:dyDescent="0.45">
      <c r="B9">
        <v>250</v>
      </c>
      <c r="C9" s="2">
        <f t="shared" si="4"/>
        <v>250</v>
      </c>
      <c r="D9" s="2">
        <f t="shared" si="2"/>
        <v>208.33333333333334</v>
      </c>
      <c r="E9" s="2">
        <f t="shared" si="2"/>
        <v>178.57142857142858</v>
      </c>
      <c r="F9" s="2">
        <f t="shared" si="2"/>
        <v>156.25</v>
      </c>
      <c r="G9" s="2">
        <f t="shared" si="2"/>
        <v>138.88888888888889</v>
      </c>
      <c r="H9" s="2">
        <f t="shared" si="2"/>
        <v>125</v>
      </c>
      <c r="I9" s="2">
        <f t="shared" si="2"/>
        <v>113.63636363636364</v>
      </c>
      <c r="J9" s="2">
        <f t="shared" si="2"/>
        <v>104.16666666666667</v>
      </c>
      <c r="K9" s="2">
        <f t="shared" si="2"/>
        <v>96.15384615384616</v>
      </c>
      <c r="L9" s="2">
        <f t="shared" si="2"/>
        <v>89.285714285714292</v>
      </c>
      <c r="M9" s="2">
        <f t="shared" si="2"/>
        <v>83.333333333333329</v>
      </c>
      <c r="N9" s="2">
        <f t="shared" si="2"/>
        <v>78.125</v>
      </c>
      <c r="O9" s="2">
        <f t="shared" si="2"/>
        <v>73.529411764705884</v>
      </c>
      <c r="P9" s="2">
        <f t="shared" si="2"/>
        <v>69.444444444444443</v>
      </c>
      <c r="Q9" s="2">
        <f t="shared" si="2"/>
        <v>65.78947368421052</v>
      </c>
      <c r="R9" s="2">
        <f t="shared" si="2"/>
        <v>62.5</v>
      </c>
      <c r="S9" s="2">
        <f t="shared" si="2"/>
        <v>59.523809523809526</v>
      </c>
      <c r="T9" s="2">
        <f t="shared" si="2"/>
        <v>56.81818181818182</v>
      </c>
      <c r="U9" s="2">
        <f t="shared" si="2"/>
        <v>54.347826086956523</v>
      </c>
      <c r="V9" s="2">
        <f t="shared" si="2"/>
        <v>52.083333333333336</v>
      </c>
      <c r="W9" s="2">
        <f t="shared" si="2"/>
        <v>50</v>
      </c>
      <c r="X9" s="2"/>
      <c r="Y9" s="2"/>
      <c r="Z9" s="1">
        <f t="shared" si="7"/>
        <v>1.25</v>
      </c>
      <c r="AA9" s="1">
        <f t="shared" si="5"/>
        <v>1.3020833333333335</v>
      </c>
      <c r="AB9" s="1">
        <f t="shared" si="5"/>
        <v>1.3392857142857142</v>
      </c>
      <c r="AC9" s="1">
        <f t="shared" si="5"/>
        <v>1.3671875</v>
      </c>
      <c r="AD9" s="1">
        <f t="shared" si="5"/>
        <v>1.3888888888888888</v>
      </c>
      <c r="AE9" s="1">
        <f t="shared" si="5"/>
        <v>1.40625</v>
      </c>
      <c r="AF9" s="1">
        <f t="shared" si="5"/>
        <v>1.4204545454545454</v>
      </c>
      <c r="AG9" s="1">
        <f t="shared" si="5"/>
        <v>1.4322916666666665</v>
      </c>
      <c r="AH9" s="1">
        <f t="shared" si="5"/>
        <v>1.4423076923076923</v>
      </c>
      <c r="AI9" s="1">
        <f t="shared" si="5"/>
        <v>1.4508928571428572</v>
      </c>
      <c r="AJ9" s="1">
        <f t="shared" si="5"/>
        <v>1.4583333333333333</v>
      </c>
      <c r="AK9" s="1">
        <f t="shared" si="5"/>
        <v>1.46484375</v>
      </c>
      <c r="AL9" s="1">
        <f t="shared" si="5"/>
        <v>1.4705882352941178</v>
      </c>
      <c r="AM9" s="1">
        <f t="shared" si="5"/>
        <v>1.4756944444444442</v>
      </c>
      <c r="AN9" s="1">
        <f t="shared" si="5"/>
        <v>1.4802631578947367</v>
      </c>
      <c r="AO9" s="1">
        <f t="shared" si="5"/>
        <v>1.484375</v>
      </c>
      <c r="AP9" s="1">
        <f t="shared" si="5"/>
        <v>1.4880952380952381</v>
      </c>
      <c r="AQ9" s="1">
        <f t="shared" si="5"/>
        <v>1.4914772727272727</v>
      </c>
      <c r="AR9" s="1">
        <f t="shared" si="5"/>
        <v>1.4945652173913042</v>
      </c>
      <c r="AS9" s="1">
        <f t="shared" si="5"/>
        <v>1.4973958333333335</v>
      </c>
      <c r="AT9" s="1">
        <f t="shared" si="5"/>
        <v>1.5</v>
      </c>
      <c r="AU9" s="2"/>
      <c r="AV9" s="2"/>
      <c r="AW9" s="1">
        <f t="shared" si="6"/>
        <v>1</v>
      </c>
      <c r="AX9" s="1">
        <f t="shared" si="3"/>
        <v>0.83333333333333337</v>
      </c>
      <c r="AY9" s="1">
        <f t="shared" si="3"/>
        <v>0.7142857142857143</v>
      </c>
      <c r="AZ9" s="1">
        <f t="shared" si="3"/>
        <v>0.625</v>
      </c>
      <c r="BA9" s="1">
        <f t="shared" si="3"/>
        <v>0.55555555555555558</v>
      </c>
      <c r="BB9" s="1">
        <f t="shared" si="3"/>
        <v>0.5</v>
      </c>
      <c r="BC9" s="1">
        <f t="shared" si="3"/>
        <v>0.45454545454545459</v>
      </c>
      <c r="BD9" s="1">
        <f t="shared" si="3"/>
        <v>0.41666666666666669</v>
      </c>
      <c r="BE9" s="1">
        <f t="shared" si="3"/>
        <v>0.38461538461538464</v>
      </c>
      <c r="BF9" s="1">
        <f t="shared" si="3"/>
        <v>0.35714285714285715</v>
      </c>
      <c r="BG9" s="1">
        <f t="shared" si="3"/>
        <v>0.33333333333333331</v>
      </c>
      <c r="BH9" s="1">
        <f t="shared" si="3"/>
        <v>0.3125</v>
      </c>
      <c r="BI9" s="1">
        <f t="shared" si="3"/>
        <v>0.29411764705882354</v>
      </c>
      <c r="BJ9" s="1">
        <f t="shared" si="3"/>
        <v>0.27777777777777779</v>
      </c>
      <c r="BK9" s="1">
        <f t="shared" si="3"/>
        <v>0.26315789473684209</v>
      </c>
      <c r="BL9" s="1">
        <f t="shared" si="3"/>
        <v>0.25</v>
      </c>
      <c r="BM9" s="1">
        <f t="shared" si="3"/>
        <v>0.23809523809523811</v>
      </c>
      <c r="BN9" s="1">
        <f t="shared" si="3"/>
        <v>0.22727272727272729</v>
      </c>
      <c r="BO9" s="1">
        <f t="shared" si="3"/>
        <v>0.21739130434782608</v>
      </c>
      <c r="BP9" s="1">
        <f t="shared" si="3"/>
        <v>0.20833333333333334</v>
      </c>
      <c r="BQ9" s="1">
        <f t="shared" si="3"/>
        <v>0.2</v>
      </c>
    </row>
    <row r="10" spans="1:69" x14ac:dyDescent="0.45">
      <c r="B10">
        <v>300</v>
      </c>
      <c r="C10" s="2">
        <f t="shared" si="4"/>
        <v>300</v>
      </c>
      <c r="D10" s="2">
        <f t="shared" ref="D10:W14" si="8">$B10^2/($B10+D$3)</f>
        <v>257.14285714285717</v>
      </c>
      <c r="E10" s="2">
        <f t="shared" si="8"/>
        <v>225</v>
      </c>
      <c r="F10" s="2">
        <f t="shared" si="8"/>
        <v>200</v>
      </c>
      <c r="G10" s="2">
        <f t="shared" si="8"/>
        <v>180</v>
      </c>
      <c r="H10" s="2">
        <f t="shared" si="8"/>
        <v>163.63636363636363</v>
      </c>
      <c r="I10" s="2">
        <f t="shared" si="8"/>
        <v>150</v>
      </c>
      <c r="J10" s="2">
        <f t="shared" si="8"/>
        <v>138.46153846153845</v>
      </c>
      <c r="K10" s="2">
        <f t="shared" si="8"/>
        <v>128.57142857142858</v>
      </c>
      <c r="L10" s="2">
        <f t="shared" si="8"/>
        <v>120</v>
      </c>
      <c r="M10" s="2">
        <f t="shared" si="8"/>
        <v>112.5</v>
      </c>
      <c r="N10" s="2">
        <f t="shared" si="8"/>
        <v>105.88235294117646</v>
      </c>
      <c r="O10" s="2">
        <f t="shared" si="8"/>
        <v>100</v>
      </c>
      <c r="P10" s="2">
        <f t="shared" si="8"/>
        <v>94.736842105263165</v>
      </c>
      <c r="Q10" s="2">
        <f t="shared" si="8"/>
        <v>90</v>
      </c>
      <c r="R10" s="2">
        <f t="shared" si="8"/>
        <v>85.714285714285708</v>
      </c>
      <c r="S10" s="2">
        <f t="shared" si="8"/>
        <v>81.818181818181813</v>
      </c>
      <c r="T10" s="2">
        <f t="shared" si="8"/>
        <v>78.260869565217391</v>
      </c>
      <c r="U10" s="2">
        <f t="shared" si="8"/>
        <v>75</v>
      </c>
      <c r="V10" s="2">
        <f t="shared" si="8"/>
        <v>72</v>
      </c>
      <c r="W10" s="2">
        <f t="shared" si="8"/>
        <v>69.230769230769226</v>
      </c>
      <c r="X10" s="2"/>
      <c r="Y10" s="2"/>
      <c r="Z10" s="1">
        <f t="shared" si="7"/>
        <v>1.2</v>
      </c>
      <c r="AA10" s="1">
        <f t="shared" si="5"/>
        <v>1.2342857142857144</v>
      </c>
      <c r="AB10" s="1">
        <f t="shared" si="5"/>
        <v>1.26</v>
      </c>
      <c r="AC10" s="1">
        <f t="shared" si="5"/>
        <v>1.28</v>
      </c>
      <c r="AD10" s="1">
        <f t="shared" si="5"/>
        <v>1.296</v>
      </c>
      <c r="AE10" s="1">
        <f t="shared" si="5"/>
        <v>1.3090909090909091</v>
      </c>
      <c r="AF10" s="1">
        <f t="shared" si="5"/>
        <v>1.32</v>
      </c>
      <c r="AG10" s="1">
        <f t="shared" si="5"/>
        <v>1.329230769230769</v>
      </c>
      <c r="AH10" s="1">
        <f t="shared" si="5"/>
        <v>1.3371428571428572</v>
      </c>
      <c r="AI10" s="1">
        <f t="shared" si="5"/>
        <v>1.3439999999999999</v>
      </c>
      <c r="AJ10" s="1">
        <f t="shared" si="5"/>
        <v>1.35</v>
      </c>
      <c r="AK10" s="1">
        <f t="shared" si="5"/>
        <v>1.3552941176470588</v>
      </c>
      <c r="AL10" s="1">
        <f t="shared" si="5"/>
        <v>1.3599999999999999</v>
      </c>
      <c r="AM10" s="1">
        <f t="shared" si="5"/>
        <v>1.3642105263157895</v>
      </c>
      <c r="AN10" s="1">
        <f t="shared" si="5"/>
        <v>1.3680000000000001</v>
      </c>
      <c r="AO10" s="1">
        <f t="shared" si="5"/>
        <v>1.3714285714285714</v>
      </c>
      <c r="AP10" s="1">
        <f t="shared" si="5"/>
        <v>1.3745454545454545</v>
      </c>
      <c r="AQ10" s="1">
        <f t="shared" si="5"/>
        <v>1.3773913043478261</v>
      </c>
      <c r="AR10" s="1">
        <f t="shared" si="5"/>
        <v>1.38</v>
      </c>
      <c r="AS10" s="1">
        <f t="shared" si="5"/>
        <v>1.3823999999999999</v>
      </c>
      <c r="AT10" s="1">
        <f t="shared" si="5"/>
        <v>1.3846153846153846</v>
      </c>
      <c r="AU10" s="2"/>
      <c r="AV10" s="2"/>
      <c r="AW10" s="1">
        <f t="shared" si="6"/>
        <v>1</v>
      </c>
      <c r="AX10" s="1">
        <f t="shared" si="3"/>
        <v>0.85714285714285721</v>
      </c>
      <c r="AY10" s="1">
        <f t="shared" si="3"/>
        <v>0.75</v>
      </c>
      <c r="AZ10" s="1">
        <f t="shared" si="3"/>
        <v>0.66666666666666663</v>
      </c>
      <c r="BA10" s="1">
        <f t="shared" si="3"/>
        <v>0.6</v>
      </c>
      <c r="BB10" s="1">
        <f t="shared" si="3"/>
        <v>0.54545454545454541</v>
      </c>
      <c r="BC10" s="1">
        <f t="shared" si="3"/>
        <v>0.5</v>
      </c>
      <c r="BD10" s="1">
        <f t="shared" si="3"/>
        <v>0.46153846153846151</v>
      </c>
      <c r="BE10" s="1">
        <f t="shared" si="3"/>
        <v>0.4285714285714286</v>
      </c>
      <c r="BF10" s="1">
        <f t="shared" si="3"/>
        <v>0.4</v>
      </c>
      <c r="BG10" s="1">
        <f t="shared" si="3"/>
        <v>0.375</v>
      </c>
      <c r="BH10" s="1">
        <f t="shared" si="3"/>
        <v>0.3529411764705882</v>
      </c>
      <c r="BI10" s="1">
        <f t="shared" si="3"/>
        <v>0.33333333333333331</v>
      </c>
      <c r="BJ10" s="1">
        <f t="shared" si="3"/>
        <v>0.31578947368421056</v>
      </c>
      <c r="BK10" s="1">
        <f t="shared" si="3"/>
        <v>0.3</v>
      </c>
      <c r="BL10" s="1">
        <f t="shared" si="3"/>
        <v>0.2857142857142857</v>
      </c>
      <c r="BM10" s="1">
        <f t="shared" si="3"/>
        <v>0.27272727272727271</v>
      </c>
      <c r="BN10" s="1">
        <f t="shared" si="3"/>
        <v>0.2608695652173913</v>
      </c>
      <c r="BO10" s="1">
        <f t="shared" si="3"/>
        <v>0.25</v>
      </c>
      <c r="BP10" s="1">
        <f t="shared" si="3"/>
        <v>0.24</v>
      </c>
      <c r="BQ10" s="1">
        <f t="shared" si="3"/>
        <v>0.23076923076923075</v>
      </c>
    </row>
    <row r="11" spans="1:69" x14ac:dyDescent="0.45">
      <c r="B11">
        <v>350</v>
      </c>
      <c r="C11" s="2">
        <f t="shared" si="4"/>
        <v>350</v>
      </c>
      <c r="D11" s="2">
        <f t="shared" si="8"/>
        <v>306.25</v>
      </c>
      <c r="E11" s="2">
        <f t="shared" si="8"/>
        <v>272.22222222222223</v>
      </c>
      <c r="F11" s="2">
        <f t="shared" si="8"/>
        <v>245</v>
      </c>
      <c r="G11" s="2">
        <f t="shared" si="8"/>
        <v>222.72727272727272</v>
      </c>
      <c r="H11" s="2">
        <f t="shared" si="8"/>
        <v>204.16666666666666</v>
      </c>
      <c r="I11" s="2">
        <f t="shared" si="8"/>
        <v>188.46153846153845</v>
      </c>
      <c r="J11" s="2">
        <f t="shared" si="8"/>
        <v>175</v>
      </c>
      <c r="K11" s="2">
        <f t="shared" si="8"/>
        <v>163.33333333333334</v>
      </c>
      <c r="L11" s="2">
        <f t="shared" si="8"/>
        <v>153.125</v>
      </c>
      <c r="M11" s="2">
        <f t="shared" si="8"/>
        <v>144.11764705882354</v>
      </c>
      <c r="N11" s="2">
        <f t="shared" si="8"/>
        <v>136.11111111111111</v>
      </c>
      <c r="O11" s="2">
        <f t="shared" si="8"/>
        <v>128.94736842105263</v>
      </c>
      <c r="P11" s="2">
        <f t="shared" si="8"/>
        <v>122.5</v>
      </c>
      <c r="Q11" s="2">
        <f t="shared" si="8"/>
        <v>116.66666666666667</v>
      </c>
      <c r="R11" s="2">
        <f t="shared" si="8"/>
        <v>111.36363636363636</v>
      </c>
      <c r="S11" s="2">
        <f t="shared" si="8"/>
        <v>106.52173913043478</v>
      </c>
      <c r="T11" s="2">
        <f t="shared" si="8"/>
        <v>102.08333333333333</v>
      </c>
      <c r="U11" s="2">
        <f t="shared" si="8"/>
        <v>98</v>
      </c>
      <c r="V11" s="2">
        <f t="shared" si="8"/>
        <v>94.230769230769226</v>
      </c>
      <c r="W11" s="2">
        <f t="shared" si="8"/>
        <v>90.740740740740748</v>
      </c>
      <c r="X11" s="2"/>
      <c r="Y11" s="2"/>
      <c r="Z11" s="1">
        <f t="shared" si="7"/>
        <v>1.1666666666666667</v>
      </c>
      <c r="AA11" s="1">
        <f t="shared" si="5"/>
        <v>1.1909722222222221</v>
      </c>
      <c r="AB11" s="1">
        <f t="shared" si="5"/>
        <v>1.2098765432098766</v>
      </c>
      <c r="AC11" s="1">
        <f t="shared" si="5"/>
        <v>1.2250000000000001</v>
      </c>
      <c r="AD11" s="1">
        <f t="shared" si="5"/>
        <v>1.2373737373737372</v>
      </c>
      <c r="AE11" s="1">
        <f t="shared" si="5"/>
        <v>1.2476851851851851</v>
      </c>
      <c r="AF11" s="1">
        <f t="shared" si="5"/>
        <v>1.2564102564102564</v>
      </c>
      <c r="AG11" s="1">
        <f t="shared" si="5"/>
        <v>1.2638888888888891</v>
      </c>
      <c r="AH11" s="1">
        <f t="shared" si="5"/>
        <v>1.2703703703703704</v>
      </c>
      <c r="AI11" s="1">
        <f t="shared" si="5"/>
        <v>1.2760416666666667</v>
      </c>
      <c r="AJ11" s="1">
        <f t="shared" si="5"/>
        <v>1.281045751633987</v>
      </c>
      <c r="AK11" s="1">
        <f t="shared" si="5"/>
        <v>1.2854938271604939</v>
      </c>
      <c r="AL11" s="1">
        <f t="shared" si="5"/>
        <v>1.2894736842105263</v>
      </c>
      <c r="AM11" s="1">
        <f t="shared" si="5"/>
        <v>1.2930555555555554</v>
      </c>
      <c r="AN11" s="1">
        <f t="shared" si="5"/>
        <v>1.2962962962962963</v>
      </c>
      <c r="AO11" s="1">
        <f t="shared" si="5"/>
        <v>1.2992424242424243</v>
      </c>
      <c r="AP11" s="1">
        <f t="shared" si="5"/>
        <v>1.3019323671497585</v>
      </c>
      <c r="AQ11" s="1">
        <f t="shared" si="5"/>
        <v>1.3043981481481481</v>
      </c>
      <c r="AR11" s="1">
        <f t="shared" si="5"/>
        <v>1.3066666666666666</v>
      </c>
      <c r="AS11" s="1">
        <f t="shared" si="5"/>
        <v>1.3087606837606838</v>
      </c>
      <c r="AT11" s="1">
        <f t="shared" si="5"/>
        <v>1.3106995884773665</v>
      </c>
      <c r="AU11" s="2"/>
      <c r="AV11" s="2"/>
      <c r="AW11" s="1">
        <f t="shared" si="6"/>
        <v>1</v>
      </c>
      <c r="AX11" s="1">
        <f t="shared" si="3"/>
        <v>0.875</v>
      </c>
      <c r="AY11" s="1">
        <f t="shared" si="3"/>
        <v>0.77777777777777779</v>
      </c>
      <c r="AZ11" s="1">
        <f t="shared" si="3"/>
        <v>0.7</v>
      </c>
      <c r="BA11" s="1">
        <f t="shared" si="3"/>
        <v>0.63636363636363635</v>
      </c>
      <c r="BB11" s="1">
        <f t="shared" si="3"/>
        <v>0.58333333333333326</v>
      </c>
      <c r="BC11" s="1">
        <f t="shared" si="3"/>
        <v>0.53846153846153844</v>
      </c>
      <c r="BD11" s="1">
        <f t="shared" si="3"/>
        <v>0.5</v>
      </c>
      <c r="BE11" s="1">
        <f t="shared" si="3"/>
        <v>0.46666666666666667</v>
      </c>
      <c r="BF11" s="1">
        <f t="shared" si="3"/>
        <v>0.4375</v>
      </c>
      <c r="BG11" s="1">
        <f t="shared" si="3"/>
        <v>0.41176470588235298</v>
      </c>
      <c r="BH11" s="1">
        <f t="shared" si="3"/>
        <v>0.3888888888888889</v>
      </c>
      <c r="BI11" s="1">
        <f t="shared" si="3"/>
        <v>0.36842105263157893</v>
      </c>
      <c r="BJ11" s="1">
        <f t="shared" si="3"/>
        <v>0.35</v>
      </c>
      <c r="BK11" s="1">
        <f t="shared" si="3"/>
        <v>0.33333333333333337</v>
      </c>
      <c r="BL11" s="1">
        <f t="shared" si="3"/>
        <v>0.31818181818181818</v>
      </c>
      <c r="BM11" s="1">
        <f t="shared" si="3"/>
        <v>0.30434782608695654</v>
      </c>
      <c r="BN11" s="1">
        <f t="shared" si="3"/>
        <v>0.29166666666666663</v>
      </c>
      <c r="BO11" s="1">
        <f t="shared" si="3"/>
        <v>0.28000000000000003</v>
      </c>
      <c r="BP11" s="1">
        <f t="shared" si="3"/>
        <v>0.26923076923076922</v>
      </c>
      <c r="BQ11" s="1">
        <f t="shared" si="3"/>
        <v>0.2592592592592593</v>
      </c>
    </row>
    <row r="12" spans="1:69" x14ac:dyDescent="0.45">
      <c r="B12">
        <v>400</v>
      </c>
      <c r="C12" s="2">
        <f t="shared" si="4"/>
        <v>400</v>
      </c>
      <c r="D12" s="2">
        <f t="shared" si="8"/>
        <v>355.55555555555554</v>
      </c>
      <c r="E12" s="2">
        <f t="shared" si="8"/>
        <v>320</v>
      </c>
      <c r="F12" s="2">
        <f t="shared" si="8"/>
        <v>290.90909090909093</v>
      </c>
      <c r="G12" s="2">
        <f t="shared" si="8"/>
        <v>266.66666666666669</v>
      </c>
      <c r="H12" s="2">
        <f t="shared" si="8"/>
        <v>246.15384615384616</v>
      </c>
      <c r="I12" s="2">
        <f t="shared" si="8"/>
        <v>228.57142857142858</v>
      </c>
      <c r="J12" s="2">
        <f t="shared" si="8"/>
        <v>213.33333333333334</v>
      </c>
      <c r="K12" s="2">
        <f t="shared" si="8"/>
        <v>200</v>
      </c>
      <c r="L12" s="2">
        <f t="shared" si="8"/>
        <v>188.23529411764707</v>
      </c>
      <c r="M12" s="2">
        <f t="shared" si="8"/>
        <v>177.77777777777777</v>
      </c>
      <c r="N12" s="2">
        <f t="shared" si="8"/>
        <v>168.42105263157896</v>
      </c>
      <c r="O12" s="2">
        <f t="shared" si="8"/>
        <v>160</v>
      </c>
      <c r="P12" s="2">
        <f t="shared" si="8"/>
        <v>152.38095238095238</v>
      </c>
      <c r="Q12" s="2">
        <f t="shared" si="8"/>
        <v>145.45454545454547</v>
      </c>
      <c r="R12" s="2">
        <f t="shared" si="8"/>
        <v>139.13043478260869</v>
      </c>
      <c r="S12" s="2">
        <f t="shared" si="8"/>
        <v>133.33333333333334</v>
      </c>
      <c r="T12" s="2">
        <f t="shared" si="8"/>
        <v>128</v>
      </c>
      <c r="U12" s="2">
        <f t="shared" si="8"/>
        <v>123.07692307692308</v>
      </c>
      <c r="V12" s="2">
        <f t="shared" si="8"/>
        <v>118.51851851851852</v>
      </c>
      <c r="W12" s="2">
        <f t="shared" si="8"/>
        <v>114.28571428571429</v>
      </c>
      <c r="X12" s="2"/>
      <c r="Y12" s="2"/>
      <c r="Z12" s="1">
        <f t="shared" si="7"/>
        <v>1.1428571428571428</v>
      </c>
      <c r="AA12" s="1">
        <f t="shared" si="5"/>
        <v>1.1609977324263039</v>
      </c>
      <c r="AB12" s="1">
        <f t="shared" si="5"/>
        <v>1.1755102040816325</v>
      </c>
      <c r="AC12" s="1">
        <f t="shared" si="5"/>
        <v>1.1873840445269017</v>
      </c>
      <c r="AD12" s="1">
        <f t="shared" si="5"/>
        <v>1.1972789115646261</v>
      </c>
      <c r="AE12" s="1">
        <f t="shared" si="5"/>
        <v>1.2056514913657772</v>
      </c>
      <c r="AF12" s="1">
        <f t="shared" si="5"/>
        <v>1.2128279883381925</v>
      </c>
      <c r="AG12" s="1">
        <f t="shared" si="5"/>
        <v>1.2190476190476192</v>
      </c>
      <c r="AH12" s="1">
        <f t="shared" si="5"/>
        <v>1.2244897959183674</v>
      </c>
      <c r="AI12" s="1">
        <f t="shared" si="5"/>
        <v>1.2292917166866748</v>
      </c>
      <c r="AJ12" s="1">
        <f t="shared" si="5"/>
        <v>1.2335600907029478</v>
      </c>
      <c r="AK12" s="1">
        <f t="shared" si="5"/>
        <v>1.2373791621911923</v>
      </c>
      <c r="AL12" s="1">
        <f t="shared" si="5"/>
        <v>1.2408163265306122</v>
      </c>
      <c r="AM12" s="1">
        <f t="shared" si="5"/>
        <v>1.2439261418853256</v>
      </c>
      <c r="AN12" s="1">
        <f t="shared" si="5"/>
        <v>1.2467532467532467</v>
      </c>
      <c r="AO12" s="1">
        <f t="shared" si="5"/>
        <v>1.2493345164152618</v>
      </c>
      <c r="AP12" s="1">
        <f t="shared" si="5"/>
        <v>1.2517006802721089</v>
      </c>
      <c r="AQ12" s="1">
        <f t="shared" si="5"/>
        <v>1.2538775510204083</v>
      </c>
      <c r="AR12" s="1">
        <f t="shared" si="5"/>
        <v>1.2558869701726845</v>
      </c>
      <c r="AS12" s="1">
        <f t="shared" si="5"/>
        <v>1.2577475434618293</v>
      </c>
      <c r="AT12" s="1">
        <f t="shared" si="5"/>
        <v>1.259475218658892</v>
      </c>
      <c r="AU12" s="2"/>
      <c r="AV12" s="2"/>
      <c r="AW12" s="1">
        <f t="shared" si="6"/>
        <v>1</v>
      </c>
      <c r="AX12" s="1">
        <f t="shared" si="3"/>
        <v>0.88888888888888884</v>
      </c>
      <c r="AY12" s="1">
        <f t="shared" si="3"/>
        <v>0.8</v>
      </c>
      <c r="AZ12" s="1">
        <f t="shared" si="3"/>
        <v>0.72727272727272729</v>
      </c>
      <c r="BA12" s="1">
        <f t="shared" si="3"/>
        <v>0.66666666666666674</v>
      </c>
      <c r="BB12" s="1">
        <f t="shared" si="3"/>
        <v>0.61538461538461542</v>
      </c>
      <c r="BC12" s="1">
        <f t="shared" si="3"/>
        <v>0.57142857142857151</v>
      </c>
      <c r="BD12" s="1">
        <f t="shared" si="3"/>
        <v>0.53333333333333333</v>
      </c>
      <c r="BE12" s="1">
        <f t="shared" si="3"/>
        <v>0.5</v>
      </c>
      <c r="BF12" s="1">
        <f t="shared" si="3"/>
        <v>0.4705882352941177</v>
      </c>
      <c r="BG12" s="1">
        <f t="shared" si="3"/>
        <v>0.44444444444444442</v>
      </c>
      <c r="BH12" s="1">
        <f t="shared" si="3"/>
        <v>0.4210526315789474</v>
      </c>
      <c r="BI12" s="1">
        <f t="shared" si="3"/>
        <v>0.4</v>
      </c>
      <c r="BJ12" s="1">
        <f t="shared" si="3"/>
        <v>0.38095238095238093</v>
      </c>
      <c r="BK12" s="1">
        <f t="shared" si="3"/>
        <v>0.36363636363636365</v>
      </c>
      <c r="BL12" s="1">
        <f t="shared" si="3"/>
        <v>0.34782608695652173</v>
      </c>
      <c r="BM12" s="1">
        <f t="shared" si="3"/>
        <v>0.33333333333333337</v>
      </c>
      <c r="BN12" s="1">
        <f t="shared" si="3"/>
        <v>0.32</v>
      </c>
      <c r="BO12" s="1">
        <f t="shared" si="3"/>
        <v>0.30769230769230771</v>
      </c>
      <c r="BP12" s="1">
        <f t="shared" si="3"/>
        <v>0.29629629629629628</v>
      </c>
      <c r="BQ12" s="1">
        <f t="shared" si="3"/>
        <v>0.28571428571428575</v>
      </c>
    </row>
    <row r="13" spans="1:69" x14ac:dyDescent="0.45">
      <c r="B13">
        <v>450</v>
      </c>
      <c r="C13" s="2">
        <f t="shared" si="4"/>
        <v>450</v>
      </c>
      <c r="D13" s="2">
        <f t="shared" si="8"/>
        <v>405</v>
      </c>
      <c r="E13" s="2">
        <f t="shared" si="8"/>
        <v>368.18181818181819</v>
      </c>
      <c r="F13" s="2">
        <f t="shared" si="8"/>
        <v>337.5</v>
      </c>
      <c r="G13" s="2">
        <f t="shared" si="8"/>
        <v>311.53846153846155</v>
      </c>
      <c r="H13" s="2">
        <f t="shared" si="8"/>
        <v>289.28571428571428</v>
      </c>
      <c r="I13" s="2">
        <f t="shared" si="8"/>
        <v>270</v>
      </c>
      <c r="J13" s="2">
        <f t="shared" si="8"/>
        <v>253.125</v>
      </c>
      <c r="K13" s="2">
        <f t="shared" si="8"/>
        <v>238.23529411764707</v>
      </c>
      <c r="L13" s="2">
        <f t="shared" si="8"/>
        <v>225</v>
      </c>
      <c r="M13" s="2">
        <f t="shared" si="8"/>
        <v>213.15789473684211</v>
      </c>
      <c r="N13" s="2">
        <f t="shared" si="8"/>
        <v>202.5</v>
      </c>
      <c r="O13" s="2">
        <f t="shared" si="8"/>
        <v>192.85714285714286</v>
      </c>
      <c r="P13" s="2">
        <f t="shared" si="8"/>
        <v>184.09090909090909</v>
      </c>
      <c r="Q13" s="2">
        <f t="shared" si="8"/>
        <v>176.08695652173913</v>
      </c>
      <c r="R13" s="2">
        <f t="shared" si="8"/>
        <v>168.75</v>
      </c>
      <c r="S13" s="2">
        <f t="shared" si="8"/>
        <v>162</v>
      </c>
      <c r="T13" s="2">
        <f t="shared" si="8"/>
        <v>155.76923076923077</v>
      </c>
      <c r="U13" s="2">
        <f t="shared" si="8"/>
        <v>150</v>
      </c>
      <c r="V13" s="2">
        <f t="shared" si="8"/>
        <v>144.64285714285714</v>
      </c>
      <c r="W13" s="2">
        <f t="shared" si="8"/>
        <v>139.65517241379311</v>
      </c>
      <c r="X13" s="2"/>
      <c r="Y13" s="2"/>
      <c r="Z13" s="1">
        <f t="shared" si="7"/>
        <v>1.125</v>
      </c>
      <c r="AA13" s="1">
        <f t="shared" si="5"/>
        <v>1.1390625000000001</v>
      </c>
      <c r="AB13" s="1">
        <f t="shared" si="5"/>
        <v>1.1505681818181819</v>
      </c>
      <c r="AC13" s="1">
        <f t="shared" si="5"/>
        <v>1.16015625</v>
      </c>
      <c r="AD13" s="1">
        <f t="shared" si="5"/>
        <v>1.1682692307692306</v>
      </c>
      <c r="AE13" s="1">
        <f t="shared" si="5"/>
        <v>1.1752232142857142</v>
      </c>
      <c r="AF13" s="1">
        <f t="shared" si="5"/>
        <v>1.1812499999999999</v>
      </c>
      <c r="AG13" s="1">
        <f t="shared" si="5"/>
        <v>1.1865234375</v>
      </c>
      <c r="AH13" s="1">
        <f t="shared" si="5"/>
        <v>1.1911764705882353</v>
      </c>
      <c r="AI13" s="1">
        <f t="shared" si="5"/>
        <v>1.1953125</v>
      </c>
      <c r="AJ13" s="1">
        <f t="shared" si="5"/>
        <v>1.1990131578947369</v>
      </c>
      <c r="AK13" s="1">
        <f t="shared" si="5"/>
        <v>1.2023437499999998</v>
      </c>
      <c r="AL13" s="1">
        <f t="shared" si="5"/>
        <v>1.2053571428571428</v>
      </c>
      <c r="AM13" s="1">
        <f t="shared" si="5"/>
        <v>1.2080965909090908</v>
      </c>
      <c r="AN13" s="1">
        <f t="shared" si="5"/>
        <v>1.2105978260869563</v>
      </c>
      <c r="AO13" s="1">
        <f t="shared" si="5"/>
        <v>1.212890625</v>
      </c>
      <c r="AP13" s="1">
        <f t="shared" si="5"/>
        <v>1.2149999999999999</v>
      </c>
      <c r="AQ13" s="1">
        <f t="shared" si="5"/>
        <v>1.2169471153846154</v>
      </c>
      <c r="AR13" s="1">
        <f t="shared" si="5"/>
        <v>1.21875</v>
      </c>
      <c r="AS13" s="1">
        <f t="shared" si="5"/>
        <v>1.2204241071428572</v>
      </c>
      <c r="AT13" s="1">
        <f t="shared" si="5"/>
        <v>1.2219827586206897</v>
      </c>
      <c r="AU13" s="2"/>
      <c r="AV13" s="2"/>
      <c r="AW13" s="1">
        <f t="shared" si="6"/>
        <v>1</v>
      </c>
      <c r="AX13" s="1">
        <f t="shared" si="3"/>
        <v>0.9</v>
      </c>
      <c r="AY13" s="1">
        <f t="shared" si="3"/>
        <v>0.81818181818181823</v>
      </c>
      <c r="AZ13" s="1">
        <f t="shared" si="3"/>
        <v>0.75</v>
      </c>
      <c r="BA13" s="1">
        <f t="shared" si="3"/>
        <v>0.69230769230769229</v>
      </c>
      <c r="BB13" s="1">
        <f t="shared" si="3"/>
        <v>0.64285714285714279</v>
      </c>
      <c r="BC13" s="1">
        <f t="shared" si="3"/>
        <v>0.6</v>
      </c>
      <c r="BD13" s="1">
        <f t="shared" si="3"/>
        <v>0.5625</v>
      </c>
      <c r="BE13" s="1">
        <f t="shared" si="3"/>
        <v>0.52941176470588236</v>
      </c>
      <c r="BF13" s="1">
        <f t="shared" si="3"/>
        <v>0.5</v>
      </c>
      <c r="BG13" s="1">
        <f t="shared" si="3"/>
        <v>0.47368421052631582</v>
      </c>
      <c r="BH13" s="1">
        <f t="shared" si="3"/>
        <v>0.45</v>
      </c>
      <c r="BI13" s="1">
        <f t="shared" si="3"/>
        <v>0.4285714285714286</v>
      </c>
      <c r="BJ13" s="1">
        <f t="shared" si="3"/>
        <v>0.40909090909090912</v>
      </c>
      <c r="BK13" s="1">
        <f t="shared" si="3"/>
        <v>0.39130434782608692</v>
      </c>
      <c r="BL13" s="1">
        <f t="shared" si="3"/>
        <v>0.375</v>
      </c>
      <c r="BM13" s="1">
        <f t="shared" si="3"/>
        <v>0.36</v>
      </c>
      <c r="BN13" s="1">
        <f t="shared" si="3"/>
        <v>0.34615384615384615</v>
      </c>
      <c r="BO13" s="1">
        <f t="shared" si="3"/>
        <v>0.33333333333333331</v>
      </c>
      <c r="BP13" s="1">
        <f t="shared" si="3"/>
        <v>0.3214285714285714</v>
      </c>
      <c r="BQ13" s="1">
        <f t="shared" si="3"/>
        <v>0.31034482758620691</v>
      </c>
    </row>
    <row r="14" spans="1:69" x14ac:dyDescent="0.45">
      <c r="B14">
        <v>500</v>
      </c>
      <c r="C14" s="2">
        <f t="shared" si="4"/>
        <v>500</v>
      </c>
      <c r="D14" s="2">
        <f t="shared" si="8"/>
        <v>454.54545454545456</v>
      </c>
      <c r="E14" s="2">
        <f t="shared" si="8"/>
        <v>416.66666666666669</v>
      </c>
      <c r="F14" s="2">
        <f t="shared" si="8"/>
        <v>384.61538461538464</v>
      </c>
      <c r="G14" s="2">
        <f t="shared" si="8"/>
        <v>357.14285714285717</v>
      </c>
      <c r="H14" s="2">
        <f t="shared" si="8"/>
        <v>333.33333333333331</v>
      </c>
      <c r="I14" s="2">
        <f t="shared" si="8"/>
        <v>312.5</v>
      </c>
      <c r="J14" s="2">
        <f t="shared" si="8"/>
        <v>294.11764705882354</v>
      </c>
      <c r="K14" s="2">
        <f t="shared" si="8"/>
        <v>277.77777777777777</v>
      </c>
      <c r="L14" s="2">
        <f t="shared" si="8"/>
        <v>263.15789473684208</v>
      </c>
      <c r="M14" s="2">
        <f t="shared" si="8"/>
        <v>250</v>
      </c>
      <c r="N14" s="2">
        <f t="shared" si="8"/>
        <v>238.0952380952381</v>
      </c>
      <c r="O14" s="2">
        <f t="shared" si="8"/>
        <v>227.27272727272728</v>
      </c>
      <c r="P14" s="2">
        <f t="shared" si="8"/>
        <v>217.39130434782609</v>
      </c>
      <c r="Q14" s="2">
        <f t="shared" si="8"/>
        <v>208.33333333333334</v>
      </c>
      <c r="R14" s="2">
        <f t="shared" si="8"/>
        <v>200</v>
      </c>
      <c r="S14" s="2">
        <f t="shared" si="8"/>
        <v>192.30769230769232</v>
      </c>
      <c r="T14" s="2">
        <f t="shared" si="8"/>
        <v>185.18518518518519</v>
      </c>
      <c r="U14" s="2">
        <f t="shared" si="8"/>
        <v>178.57142857142858</v>
      </c>
      <c r="V14" s="2">
        <f t="shared" si="8"/>
        <v>172.41379310344828</v>
      </c>
      <c r="W14" s="2">
        <f t="shared" si="8"/>
        <v>166.66666666666666</v>
      </c>
      <c r="X14" s="2"/>
      <c r="Y14" s="2"/>
      <c r="Z14" s="1">
        <f t="shared" si="7"/>
        <v>1.1111111111111112</v>
      </c>
      <c r="AA14" s="1">
        <f t="shared" si="5"/>
        <v>1.122334455667789</v>
      </c>
      <c r="AB14" s="1">
        <f t="shared" si="5"/>
        <v>1.131687242798354</v>
      </c>
      <c r="AC14" s="1">
        <f t="shared" si="5"/>
        <v>1.1396011396011396</v>
      </c>
      <c r="AD14" s="1">
        <f t="shared" si="5"/>
        <v>1.1463844797178131</v>
      </c>
      <c r="AE14" s="1">
        <f t="shared" si="5"/>
        <v>1.1522633744855966</v>
      </c>
      <c r="AF14" s="1">
        <f t="shared" si="5"/>
        <v>1.1574074074074074</v>
      </c>
      <c r="AG14" s="1">
        <f t="shared" si="5"/>
        <v>1.1619462599854757</v>
      </c>
      <c r="AH14" s="1">
        <f t="shared" si="5"/>
        <v>1.1659807956104251</v>
      </c>
      <c r="AI14" s="1">
        <f t="shared" si="5"/>
        <v>1.1695906432748537</v>
      </c>
      <c r="AJ14" s="1">
        <f t="shared" si="5"/>
        <v>1.1728395061728394</v>
      </c>
      <c r="AK14" s="1">
        <f t="shared" si="5"/>
        <v>1.1757789535567313</v>
      </c>
      <c r="AL14" s="1">
        <f t="shared" si="5"/>
        <v>1.1784511784511784</v>
      </c>
      <c r="AM14" s="1">
        <f t="shared" si="5"/>
        <v>1.1808910359634996</v>
      </c>
      <c r="AN14" s="1">
        <f t="shared" si="5"/>
        <v>1.1831275720164609</v>
      </c>
      <c r="AO14" s="1">
        <f t="shared" si="5"/>
        <v>1.1851851851851851</v>
      </c>
      <c r="AP14" s="1">
        <f t="shared" si="5"/>
        <v>1.1870845204178537</v>
      </c>
      <c r="AQ14" s="1">
        <f t="shared" si="5"/>
        <v>1.188843164151806</v>
      </c>
      <c r="AR14" s="1">
        <f t="shared" si="5"/>
        <v>1.1904761904761905</v>
      </c>
      <c r="AS14" s="1">
        <f t="shared" si="5"/>
        <v>1.1919965942954449</v>
      </c>
      <c r="AT14" s="1">
        <f t="shared" si="5"/>
        <v>1.1934156378600822</v>
      </c>
      <c r="AU14" s="2"/>
      <c r="AV14" s="2"/>
      <c r="AW14" s="1">
        <f t="shared" si="6"/>
        <v>1</v>
      </c>
      <c r="AX14" s="1">
        <f t="shared" si="3"/>
        <v>0.90909090909090917</v>
      </c>
      <c r="AY14" s="1">
        <f t="shared" si="3"/>
        <v>0.83333333333333337</v>
      </c>
      <c r="AZ14" s="1">
        <f t="shared" si="3"/>
        <v>0.76923076923076927</v>
      </c>
      <c r="BA14" s="1">
        <f t="shared" si="3"/>
        <v>0.7142857142857143</v>
      </c>
      <c r="BB14" s="1">
        <f t="shared" si="3"/>
        <v>0.66666666666666663</v>
      </c>
      <c r="BC14" s="1">
        <f t="shared" si="3"/>
        <v>0.625</v>
      </c>
      <c r="BD14" s="1">
        <f t="shared" si="3"/>
        <v>0.58823529411764708</v>
      </c>
      <c r="BE14" s="1">
        <f t="shared" si="3"/>
        <v>0.55555555555555558</v>
      </c>
      <c r="BF14" s="1">
        <f t="shared" si="3"/>
        <v>0.52631578947368418</v>
      </c>
      <c r="BG14" s="1">
        <f t="shared" si="3"/>
        <v>0.5</v>
      </c>
      <c r="BH14" s="1">
        <f t="shared" si="3"/>
        <v>0.47619047619047622</v>
      </c>
      <c r="BI14" s="1">
        <f t="shared" si="3"/>
        <v>0.45454545454545459</v>
      </c>
      <c r="BJ14" s="1">
        <f t="shared" si="3"/>
        <v>0.43478260869565216</v>
      </c>
      <c r="BK14" s="1">
        <f t="shared" si="3"/>
        <v>0.41666666666666669</v>
      </c>
      <c r="BL14" s="1">
        <f t="shared" si="3"/>
        <v>0.4</v>
      </c>
      <c r="BM14" s="1">
        <f t="shared" si="3"/>
        <v>0.38461538461538464</v>
      </c>
      <c r="BN14" s="1">
        <f t="shared" si="3"/>
        <v>0.37037037037037041</v>
      </c>
      <c r="BO14" s="1">
        <f t="shared" si="3"/>
        <v>0.35714285714285715</v>
      </c>
      <c r="BP14" s="1">
        <f t="shared" si="3"/>
        <v>0.34482758620689657</v>
      </c>
      <c r="BQ14" s="1">
        <f t="shared" si="3"/>
        <v>0.33333333333333331</v>
      </c>
    </row>
    <row r="15" spans="1:69" x14ac:dyDescent="0.45">
      <c r="B15">
        <v>550</v>
      </c>
      <c r="C15" s="2">
        <f t="shared" si="4"/>
        <v>550</v>
      </c>
      <c r="D15" s="2">
        <f t="shared" ref="D15:W19" si="9">$B15^2/($B15+D$3)</f>
        <v>504.16666666666669</v>
      </c>
      <c r="E15" s="2">
        <f t="shared" si="9"/>
        <v>465.38461538461536</v>
      </c>
      <c r="F15" s="2">
        <f t="shared" si="9"/>
        <v>432.14285714285717</v>
      </c>
      <c r="G15" s="2">
        <f t="shared" si="9"/>
        <v>403.33333333333331</v>
      </c>
      <c r="H15" s="2">
        <f t="shared" si="9"/>
        <v>378.125</v>
      </c>
      <c r="I15" s="2">
        <f t="shared" si="9"/>
        <v>355.88235294117646</v>
      </c>
      <c r="J15" s="2">
        <f t="shared" si="9"/>
        <v>336.11111111111109</v>
      </c>
      <c r="K15" s="2">
        <f t="shared" si="9"/>
        <v>318.42105263157896</v>
      </c>
      <c r="L15" s="2">
        <f t="shared" si="9"/>
        <v>302.5</v>
      </c>
      <c r="M15" s="2">
        <f t="shared" si="9"/>
        <v>288.09523809523807</v>
      </c>
      <c r="N15" s="2">
        <f t="shared" si="9"/>
        <v>275</v>
      </c>
      <c r="O15" s="2">
        <f t="shared" si="9"/>
        <v>263.04347826086956</v>
      </c>
      <c r="P15" s="2">
        <f t="shared" si="9"/>
        <v>252.08333333333334</v>
      </c>
      <c r="Q15" s="2">
        <f t="shared" si="9"/>
        <v>242</v>
      </c>
      <c r="R15" s="2">
        <f t="shared" si="9"/>
        <v>232.69230769230768</v>
      </c>
      <c r="S15" s="2">
        <f t="shared" si="9"/>
        <v>224.07407407407408</v>
      </c>
      <c r="T15" s="2">
        <f t="shared" si="9"/>
        <v>216.07142857142858</v>
      </c>
      <c r="U15" s="2">
        <f t="shared" si="9"/>
        <v>208.62068965517241</v>
      </c>
      <c r="V15" s="2">
        <f t="shared" si="9"/>
        <v>201.66666666666666</v>
      </c>
      <c r="W15" s="2">
        <f t="shared" si="9"/>
        <v>195.16129032258064</v>
      </c>
      <c r="X15" s="2"/>
      <c r="Y15" s="2"/>
      <c r="Z15" s="1">
        <f t="shared" si="7"/>
        <v>1.1000000000000001</v>
      </c>
      <c r="AA15" s="1">
        <f t="shared" si="5"/>
        <v>1.1091666666666666</v>
      </c>
      <c r="AB15" s="1">
        <f t="shared" si="5"/>
        <v>1.1169230769230769</v>
      </c>
      <c r="AC15" s="1">
        <f t="shared" si="5"/>
        <v>1.1235714285714287</v>
      </c>
      <c r="AD15" s="1">
        <f t="shared" si="5"/>
        <v>1.1293333333333333</v>
      </c>
      <c r="AE15" s="1">
        <f t="shared" si="5"/>
        <v>1.1343750000000001</v>
      </c>
      <c r="AF15" s="1">
        <f t="shared" si="5"/>
        <v>1.1388235294117648</v>
      </c>
      <c r="AG15" s="1">
        <f t="shared" si="5"/>
        <v>1.1427777777777777</v>
      </c>
      <c r="AH15" s="1">
        <f t="shared" si="5"/>
        <v>1.1463157894736842</v>
      </c>
      <c r="AI15" s="1">
        <f t="shared" si="5"/>
        <v>1.1495000000000002</v>
      </c>
      <c r="AJ15" s="1">
        <f t="shared" si="5"/>
        <v>1.1523809523809523</v>
      </c>
      <c r="AK15" s="1">
        <f t="shared" si="5"/>
        <v>1.155</v>
      </c>
      <c r="AL15" s="1">
        <f t="shared" si="5"/>
        <v>1.1573913043478261</v>
      </c>
      <c r="AM15" s="1">
        <f t="shared" si="5"/>
        <v>1.1595833333333334</v>
      </c>
      <c r="AN15" s="1">
        <f t="shared" si="5"/>
        <v>1.1616</v>
      </c>
      <c r="AO15" s="1">
        <f t="shared" si="5"/>
        <v>1.1634615384615383</v>
      </c>
      <c r="AP15" s="1">
        <f t="shared" si="5"/>
        <v>1.1651851851851851</v>
      </c>
      <c r="AQ15" s="1">
        <f t="shared" si="5"/>
        <v>1.1667857142857143</v>
      </c>
      <c r="AR15" s="1">
        <f t="shared" si="5"/>
        <v>1.1682758620689655</v>
      </c>
      <c r="AS15" s="1">
        <f t="shared" si="5"/>
        <v>1.1696666666666666</v>
      </c>
      <c r="AT15" s="1">
        <f t="shared" si="5"/>
        <v>1.1709677419354838</v>
      </c>
      <c r="AU15" s="2"/>
      <c r="AV15" s="2"/>
      <c r="AW15" s="1">
        <f t="shared" si="6"/>
        <v>1</v>
      </c>
      <c r="AX15" s="1">
        <f t="shared" si="3"/>
        <v>0.91666666666666674</v>
      </c>
      <c r="AY15" s="1">
        <f t="shared" si="3"/>
        <v>0.84615384615384615</v>
      </c>
      <c r="AZ15" s="1">
        <f t="shared" si="3"/>
        <v>0.78571428571428581</v>
      </c>
      <c r="BA15" s="1">
        <f t="shared" si="3"/>
        <v>0.73333333333333328</v>
      </c>
      <c r="BB15" s="1">
        <f t="shared" si="3"/>
        <v>0.6875</v>
      </c>
      <c r="BC15" s="1">
        <f t="shared" si="3"/>
        <v>0.6470588235294118</v>
      </c>
      <c r="BD15" s="1">
        <f t="shared" si="3"/>
        <v>0.61111111111111105</v>
      </c>
      <c r="BE15" s="1">
        <f t="shared" si="3"/>
        <v>0.57894736842105265</v>
      </c>
      <c r="BF15" s="1">
        <f t="shared" si="3"/>
        <v>0.55000000000000004</v>
      </c>
      <c r="BG15" s="1">
        <f t="shared" si="3"/>
        <v>0.52380952380952372</v>
      </c>
      <c r="BH15" s="1">
        <f t="shared" si="3"/>
        <v>0.5</v>
      </c>
      <c r="BI15" s="1">
        <f t="shared" si="3"/>
        <v>0.47826086956521741</v>
      </c>
      <c r="BJ15" s="1">
        <f t="shared" si="3"/>
        <v>0.45833333333333337</v>
      </c>
      <c r="BK15" s="1">
        <f t="shared" si="3"/>
        <v>0.44</v>
      </c>
      <c r="BL15" s="1">
        <f t="shared" si="3"/>
        <v>0.42307692307692307</v>
      </c>
      <c r="BM15" s="1">
        <f t="shared" si="3"/>
        <v>0.40740740740740738</v>
      </c>
      <c r="BN15" s="1">
        <f t="shared" si="3"/>
        <v>0.3928571428571429</v>
      </c>
      <c r="BO15" s="1">
        <f t="shared" si="3"/>
        <v>0.37931034482758619</v>
      </c>
      <c r="BP15" s="1">
        <f t="shared" si="3"/>
        <v>0.36666666666666664</v>
      </c>
      <c r="BQ15" s="1">
        <f t="shared" si="3"/>
        <v>0.35483870967741937</v>
      </c>
    </row>
    <row r="16" spans="1:69" x14ac:dyDescent="0.45">
      <c r="B16">
        <v>600</v>
      </c>
      <c r="C16" s="2">
        <f t="shared" si="4"/>
        <v>600</v>
      </c>
      <c r="D16" s="2">
        <f t="shared" si="9"/>
        <v>553.84615384615381</v>
      </c>
      <c r="E16" s="2">
        <f t="shared" si="9"/>
        <v>514.28571428571433</v>
      </c>
      <c r="F16" s="2">
        <f t="shared" si="9"/>
        <v>480</v>
      </c>
      <c r="G16" s="2">
        <f t="shared" si="9"/>
        <v>450</v>
      </c>
      <c r="H16" s="2">
        <f t="shared" si="9"/>
        <v>423.52941176470586</v>
      </c>
      <c r="I16" s="2">
        <f t="shared" si="9"/>
        <v>400</v>
      </c>
      <c r="J16" s="2">
        <f t="shared" si="9"/>
        <v>378.94736842105266</v>
      </c>
      <c r="K16" s="2">
        <f t="shared" si="9"/>
        <v>360</v>
      </c>
      <c r="L16" s="2">
        <f t="shared" si="9"/>
        <v>342.85714285714283</v>
      </c>
      <c r="M16" s="2">
        <f t="shared" si="9"/>
        <v>327.27272727272725</v>
      </c>
      <c r="N16" s="2">
        <f t="shared" si="9"/>
        <v>313.04347826086956</v>
      </c>
      <c r="O16" s="2">
        <f t="shared" si="9"/>
        <v>300</v>
      </c>
      <c r="P16" s="2">
        <f t="shared" si="9"/>
        <v>288</v>
      </c>
      <c r="Q16" s="2">
        <f t="shared" si="9"/>
        <v>276.92307692307691</v>
      </c>
      <c r="R16" s="2">
        <f t="shared" si="9"/>
        <v>266.66666666666669</v>
      </c>
      <c r="S16" s="2">
        <f t="shared" si="9"/>
        <v>257.14285714285717</v>
      </c>
      <c r="T16" s="2">
        <f t="shared" si="9"/>
        <v>248.27586206896552</v>
      </c>
      <c r="U16" s="2">
        <f t="shared" si="9"/>
        <v>240</v>
      </c>
      <c r="V16" s="2">
        <f t="shared" si="9"/>
        <v>232.25806451612902</v>
      </c>
      <c r="W16" s="2">
        <f t="shared" si="9"/>
        <v>225</v>
      </c>
      <c r="X16" s="2"/>
      <c r="Y16" s="2"/>
      <c r="Z16" s="1">
        <f t="shared" si="7"/>
        <v>1.0909090909090908</v>
      </c>
      <c r="AA16" s="1">
        <f t="shared" si="5"/>
        <v>1.0985378258105529</v>
      </c>
      <c r="AB16" s="1">
        <f t="shared" si="5"/>
        <v>1.1050767414403779</v>
      </c>
      <c r="AC16" s="1">
        <f t="shared" si="5"/>
        <v>1.1107438016528925</v>
      </c>
      <c r="AD16" s="1">
        <f t="shared" si="5"/>
        <v>1.115702479338843</v>
      </c>
      <c r="AE16" s="1">
        <f t="shared" si="5"/>
        <v>1.1200777831793873</v>
      </c>
      <c r="AF16" s="1">
        <f t="shared" si="5"/>
        <v>1.1239669421487604</v>
      </c>
      <c r="AG16" s="1">
        <f t="shared" si="5"/>
        <v>1.1274467159634625</v>
      </c>
      <c r="AH16" s="1">
        <f t="shared" si="5"/>
        <v>1.1305785123966943</v>
      </c>
      <c r="AI16" s="1">
        <f t="shared" si="5"/>
        <v>1.1334120425029515</v>
      </c>
      <c r="AJ16" s="1">
        <f t="shared" si="5"/>
        <v>1.1359879789631855</v>
      </c>
      <c r="AK16" s="1">
        <f t="shared" si="5"/>
        <v>1.1383399209486167</v>
      </c>
      <c r="AL16" s="1">
        <f t="shared" si="5"/>
        <v>1.140495867768595</v>
      </c>
      <c r="AM16" s="1">
        <f t="shared" si="5"/>
        <v>1.1424793388429753</v>
      </c>
      <c r="AN16" s="1">
        <f t="shared" si="5"/>
        <v>1.144310235219326</v>
      </c>
      <c r="AO16" s="1">
        <f t="shared" si="5"/>
        <v>1.1460055096418735</v>
      </c>
      <c r="AP16" s="1">
        <f t="shared" si="5"/>
        <v>1.1475796930342386</v>
      </c>
      <c r="AQ16" s="1">
        <f t="shared" si="5"/>
        <v>1.1490453120547164</v>
      </c>
      <c r="AR16" s="1">
        <f t="shared" si="5"/>
        <v>1.1504132231404958</v>
      </c>
      <c r="AS16" s="1">
        <f t="shared" si="5"/>
        <v>1.1516928818981604</v>
      </c>
      <c r="AT16" s="1">
        <f t="shared" si="5"/>
        <v>1.1528925619834711</v>
      </c>
      <c r="AU16" s="2"/>
      <c r="AV16" s="2"/>
      <c r="AW16" s="1">
        <f t="shared" si="6"/>
        <v>1</v>
      </c>
      <c r="AX16" s="1">
        <f t="shared" si="3"/>
        <v>0.92307692307692302</v>
      </c>
      <c r="AY16" s="1">
        <f t="shared" si="3"/>
        <v>0.85714285714285721</v>
      </c>
      <c r="AZ16" s="1">
        <f t="shared" si="3"/>
        <v>0.8</v>
      </c>
      <c r="BA16" s="1">
        <f t="shared" si="3"/>
        <v>0.75</v>
      </c>
      <c r="BB16" s="1">
        <f t="shared" si="3"/>
        <v>0.70588235294117641</v>
      </c>
      <c r="BC16" s="1">
        <f t="shared" si="3"/>
        <v>0.66666666666666663</v>
      </c>
      <c r="BD16" s="1">
        <f t="shared" si="3"/>
        <v>0.63157894736842113</v>
      </c>
      <c r="BE16" s="1">
        <f t="shared" si="3"/>
        <v>0.6</v>
      </c>
      <c r="BF16" s="1">
        <f t="shared" si="3"/>
        <v>0.5714285714285714</v>
      </c>
      <c r="BG16" s="1">
        <f t="shared" si="3"/>
        <v>0.54545454545454541</v>
      </c>
      <c r="BH16" s="1">
        <f t="shared" si="3"/>
        <v>0.52173913043478259</v>
      </c>
      <c r="BI16" s="1">
        <f t="shared" si="3"/>
        <v>0.5</v>
      </c>
      <c r="BJ16" s="1">
        <f t="shared" si="3"/>
        <v>0.48</v>
      </c>
      <c r="BK16" s="1">
        <f t="shared" si="3"/>
        <v>0.46153846153846151</v>
      </c>
      <c r="BL16" s="1">
        <f t="shared" si="3"/>
        <v>0.44444444444444448</v>
      </c>
      <c r="BM16" s="1">
        <f t="shared" ref="BM16:BM24" si="10">S16/$B16</f>
        <v>0.4285714285714286</v>
      </c>
      <c r="BN16" s="1">
        <f t="shared" ref="BN16:BN24" si="11">T16/$B16</f>
        <v>0.41379310344827586</v>
      </c>
      <c r="BO16" s="1">
        <f t="shared" ref="BO16:BO24" si="12">U16/$B16</f>
        <v>0.4</v>
      </c>
      <c r="BP16" s="1">
        <f t="shared" ref="BP16:BP24" si="13">V16/$B16</f>
        <v>0.38709677419354838</v>
      </c>
      <c r="BQ16" s="1">
        <f t="shared" ref="BQ16:BQ24" si="14">W16/$B16</f>
        <v>0.375</v>
      </c>
    </row>
    <row r="17" spans="2:69" x14ac:dyDescent="0.45">
      <c r="B17">
        <v>650</v>
      </c>
      <c r="C17" s="2">
        <f t="shared" si="4"/>
        <v>650</v>
      </c>
      <c r="D17" s="2">
        <f t="shared" si="9"/>
        <v>603.57142857142856</v>
      </c>
      <c r="E17" s="2">
        <f t="shared" si="9"/>
        <v>563.33333333333337</v>
      </c>
      <c r="F17" s="2">
        <f t="shared" si="9"/>
        <v>528.125</v>
      </c>
      <c r="G17" s="2">
        <f t="shared" si="9"/>
        <v>497.05882352941177</v>
      </c>
      <c r="H17" s="2">
        <f t="shared" si="9"/>
        <v>469.44444444444446</v>
      </c>
      <c r="I17" s="2">
        <f t="shared" si="9"/>
        <v>444.73684210526318</v>
      </c>
      <c r="J17" s="2">
        <f t="shared" si="9"/>
        <v>422.5</v>
      </c>
      <c r="K17" s="2">
        <f t="shared" si="9"/>
        <v>402.38095238095241</v>
      </c>
      <c r="L17" s="2">
        <f t="shared" si="9"/>
        <v>384.09090909090907</v>
      </c>
      <c r="M17" s="2">
        <f t="shared" si="9"/>
        <v>367.39130434782606</v>
      </c>
      <c r="N17" s="2">
        <f t="shared" si="9"/>
        <v>352.08333333333331</v>
      </c>
      <c r="O17" s="2">
        <f t="shared" si="9"/>
        <v>338</v>
      </c>
      <c r="P17" s="2">
        <f t="shared" si="9"/>
        <v>325</v>
      </c>
      <c r="Q17" s="2">
        <f t="shared" si="9"/>
        <v>312.96296296296299</v>
      </c>
      <c r="R17" s="2">
        <f t="shared" si="9"/>
        <v>301.78571428571428</v>
      </c>
      <c r="S17" s="2">
        <f t="shared" si="9"/>
        <v>291.37931034482756</v>
      </c>
      <c r="T17" s="2">
        <f t="shared" si="9"/>
        <v>281.66666666666669</v>
      </c>
      <c r="U17" s="2">
        <f t="shared" si="9"/>
        <v>272.58064516129031</v>
      </c>
      <c r="V17" s="2">
        <f t="shared" si="9"/>
        <v>264.0625</v>
      </c>
      <c r="W17" s="2">
        <f t="shared" si="9"/>
        <v>256.06060606060606</v>
      </c>
      <c r="X17" s="2"/>
      <c r="Y17" s="2"/>
      <c r="Z17" s="1">
        <f t="shared" si="7"/>
        <v>1.0833333333333333</v>
      </c>
      <c r="AA17" s="1">
        <f t="shared" si="5"/>
        <v>1.089781746031746</v>
      </c>
      <c r="AB17" s="1">
        <f t="shared" si="5"/>
        <v>1.0953703703703703</v>
      </c>
      <c r="AC17" s="1">
        <f t="shared" si="5"/>
        <v>1.1002604166666667</v>
      </c>
      <c r="AD17" s="1">
        <f t="shared" si="5"/>
        <v>1.1045751633986929</v>
      </c>
      <c r="AE17" s="1">
        <f t="shared" si="5"/>
        <v>1.1084104938271606</v>
      </c>
      <c r="AF17" s="1">
        <f t="shared" si="5"/>
        <v>1.111842105263158</v>
      </c>
      <c r="AG17" s="1">
        <f t="shared" si="5"/>
        <v>1.1149305555555555</v>
      </c>
      <c r="AH17" s="1">
        <f t="shared" si="5"/>
        <v>1.1177248677248679</v>
      </c>
      <c r="AI17" s="1">
        <f t="shared" si="5"/>
        <v>1.1202651515151516</v>
      </c>
      <c r="AJ17" s="1">
        <f t="shared" si="5"/>
        <v>1.1225845410628019</v>
      </c>
      <c r="AK17" s="1">
        <f t="shared" si="5"/>
        <v>1.1247106481481481</v>
      </c>
      <c r="AL17" s="1">
        <f t="shared" si="5"/>
        <v>1.1266666666666667</v>
      </c>
      <c r="AM17" s="1">
        <f t="shared" si="5"/>
        <v>1.1284722222222223</v>
      </c>
      <c r="AN17" s="1">
        <f t="shared" si="5"/>
        <v>1.1301440329218109</v>
      </c>
      <c r="AO17" s="1">
        <f t="shared" si="5"/>
        <v>1.1316964285714284</v>
      </c>
      <c r="AP17" s="1">
        <f t="shared" ref="AP17:AP24" si="15">S17/S16</f>
        <v>1.133141762452107</v>
      </c>
      <c r="AQ17" s="1">
        <f t="shared" ref="AQ17:AQ24" si="16">T17/T16</f>
        <v>1.1344907407407407</v>
      </c>
      <c r="AR17" s="1">
        <f t="shared" ref="AR17:AR24" si="17">U17/U16</f>
        <v>1.135752688172043</v>
      </c>
      <c r="AS17" s="1">
        <f t="shared" ref="AS17:AS24" si="18">V17/V16</f>
        <v>1.1369357638888888</v>
      </c>
      <c r="AT17" s="1">
        <f t="shared" ref="AT17:AT24" si="19">W17/W16</f>
        <v>1.138047138047138</v>
      </c>
      <c r="AU17" s="2"/>
      <c r="AV17" s="2"/>
      <c r="AW17" s="1">
        <f t="shared" si="6"/>
        <v>1</v>
      </c>
      <c r="AX17" s="1">
        <f t="shared" ref="AX17:AX24" si="20">D17/$B17</f>
        <v>0.92857142857142849</v>
      </c>
      <c r="AY17" s="1">
        <f t="shared" ref="AY17:AY24" si="21">E17/$B17</f>
        <v>0.8666666666666667</v>
      </c>
      <c r="AZ17" s="1">
        <f t="shared" ref="AZ17:AZ24" si="22">F17/$B17</f>
        <v>0.8125</v>
      </c>
      <c r="BA17" s="1">
        <f t="shared" ref="BA17:BA24" si="23">G17/$B17</f>
        <v>0.76470588235294124</v>
      </c>
      <c r="BB17" s="1">
        <f t="shared" ref="BB17:BB24" si="24">H17/$B17</f>
        <v>0.72222222222222221</v>
      </c>
      <c r="BC17" s="1">
        <f t="shared" ref="BC17:BC24" si="25">I17/$B17</f>
        <v>0.68421052631578949</v>
      </c>
      <c r="BD17" s="1">
        <f t="shared" ref="BD17:BD24" si="26">J17/$B17</f>
        <v>0.65</v>
      </c>
      <c r="BE17" s="1">
        <f t="shared" ref="BE17:BE24" si="27">K17/$B17</f>
        <v>0.61904761904761907</v>
      </c>
      <c r="BF17" s="1">
        <f t="shared" ref="BF17:BF24" si="28">L17/$B17</f>
        <v>0.59090909090909083</v>
      </c>
      <c r="BG17" s="1">
        <f t="shared" ref="BG17:BG24" si="29">M17/$B17</f>
        <v>0.56521739130434778</v>
      </c>
      <c r="BH17" s="1">
        <f t="shared" ref="BH17:BH24" si="30">N17/$B17</f>
        <v>0.54166666666666663</v>
      </c>
      <c r="BI17" s="1">
        <f t="shared" ref="BI17:BI24" si="31">O17/$B17</f>
        <v>0.52</v>
      </c>
      <c r="BJ17" s="1">
        <f t="shared" ref="BJ17:BJ24" si="32">P17/$B17</f>
        <v>0.5</v>
      </c>
      <c r="BK17" s="1">
        <f t="shared" ref="BK17:BK24" si="33">Q17/$B17</f>
        <v>0.48148148148148151</v>
      </c>
      <c r="BL17" s="1">
        <f t="shared" ref="BL17:BL24" si="34">R17/$B17</f>
        <v>0.46428571428571425</v>
      </c>
      <c r="BM17" s="1">
        <f t="shared" si="10"/>
        <v>0.44827586206896547</v>
      </c>
      <c r="BN17" s="1">
        <f t="shared" si="11"/>
        <v>0.43333333333333335</v>
      </c>
      <c r="BO17" s="1">
        <f t="shared" si="12"/>
        <v>0.41935483870967738</v>
      </c>
      <c r="BP17" s="1">
        <f t="shared" si="13"/>
        <v>0.40625</v>
      </c>
      <c r="BQ17" s="1">
        <f t="shared" si="14"/>
        <v>0.39393939393939392</v>
      </c>
    </row>
    <row r="18" spans="2:69" x14ac:dyDescent="0.45">
      <c r="B18">
        <v>700</v>
      </c>
      <c r="C18" s="2">
        <f t="shared" si="4"/>
        <v>700</v>
      </c>
      <c r="D18" s="2">
        <f t="shared" si="9"/>
        <v>653.33333333333337</v>
      </c>
      <c r="E18" s="2">
        <f t="shared" si="9"/>
        <v>612.5</v>
      </c>
      <c r="F18" s="2">
        <f t="shared" si="9"/>
        <v>576.47058823529414</v>
      </c>
      <c r="G18" s="2">
        <f t="shared" si="9"/>
        <v>544.44444444444446</v>
      </c>
      <c r="H18" s="2">
        <f t="shared" si="9"/>
        <v>515.78947368421052</v>
      </c>
      <c r="I18" s="2">
        <f t="shared" si="9"/>
        <v>490</v>
      </c>
      <c r="J18" s="2">
        <f t="shared" si="9"/>
        <v>466.66666666666669</v>
      </c>
      <c r="K18" s="2">
        <f t="shared" si="9"/>
        <v>445.45454545454544</v>
      </c>
      <c r="L18" s="2">
        <f t="shared" si="9"/>
        <v>426.08695652173913</v>
      </c>
      <c r="M18" s="2">
        <f t="shared" si="9"/>
        <v>408.33333333333331</v>
      </c>
      <c r="N18" s="2">
        <f t="shared" si="9"/>
        <v>392</v>
      </c>
      <c r="O18" s="2">
        <f t="shared" si="9"/>
        <v>376.92307692307691</v>
      </c>
      <c r="P18" s="2">
        <f t="shared" si="9"/>
        <v>362.96296296296299</v>
      </c>
      <c r="Q18" s="2">
        <f t="shared" si="9"/>
        <v>350</v>
      </c>
      <c r="R18" s="2">
        <f t="shared" si="9"/>
        <v>337.93103448275861</v>
      </c>
      <c r="S18" s="2">
        <f t="shared" si="9"/>
        <v>326.66666666666669</v>
      </c>
      <c r="T18" s="2">
        <f t="shared" si="9"/>
        <v>316.12903225806451</v>
      </c>
      <c r="U18" s="2">
        <f t="shared" si="9"/>
        <v>306.25</v>
      </c>
      <c r="V18" s="2">
        <f t="shared" si="9"/>
        <v>296.969696969697</v>
      </c>
      <c r="W18" s="2">
        <f t="shared" si="9"/>
        <v>288.23529411764707</v>
      </c>
      <c r="X18" s="2"/>
      <c r="Y18" s="2"/>
      <c r="Z18" s="1">
        <f t="shared" si="7"/>
        <v>1.0769230769230769</v>
      </c>
      <c r="AA18" s="1">
        <f t="shared" ref="AA18:AA24" si="35">D18/D17</f>
        <v>1.0824457593688364</v>
      </c>
      <c r="AB18" s="1">
        <f t="shared" ref="AB18:AB24" si="36">E18/E17</f>
        <v>1.0872781065088757</v>
      </c>
      <c r="AC18" s="1">
        <f t="shared" ref="AC18:AC24" si="37">F18/F17</f>
        <v>1.0915419422206754</v>
      </c>
      <c r="AD18" s="1">
        <f t="shared" ref="AD18:AD24" si="38">G18/G17</f>
        <v>1.0953320184089415</v>
      </c>
      <c r="AE18" s="1">
        <f t="shared" ref="AE18:AE24" si="39">H18/H17</f>
        <v>1.0987231392089691</v>
      </c>
      <c r="AF18" s="1">
        <f t="shared" ref="AF18:AF24" si="40">I18/I17</f>
        <v>1.1017751479289941</v>
      </c>
      <c r="AG18" s="1">
        <f t="shared" ref="AG18:AG24" si="41">J18/J17</f>
        <v>1.1045364891518739</v>
      </c>
      <c r="AH18" s="1">
        <f t="shared" ref="AH18:AH24" si="42">K18/K17</f>
        <v>1.1070467993544915</v>
      </c>
      <c r="AI18" s="1">
        <f t="shared" ref="AI18:AI24" si="43">L18/L17</f>
        <v>1.1093388217134037</v>
      </c>
      <c r="AJ18" s="1">
        <f t="shared" ref="AJ18:AJ24" si="44">M18/M17</f>
        <v>1.111439842209073</v>
      </c>
      <c r="AK18" s="1">
        <f t="shared" ref="AK18:AK24" si="45">N18/N17</f>
        <v>1.1133727810650889</v>
      </c>
      <c r="AL18" s="1">
        <f t="shared" ref="AL18:AL24" si="46">O18/O17</f>
        <v>1.1151570323167956</v>
      </c>
      <c r="AM18" s="1">
        <f t="shared" ref="AM18:AM24" si="47">P18/P17</f>
        <v>1.116809116809117</v>
      </c>
      <c r="AN18" s="1">
        <f t="shared" ref="AN18:AN24" si="48">Q18/Q17</f>
        <v>1.1183431952662721</v>
      </c>
      <c r="AO18" s="1">
        <f t="shared" ref="AO18:AO24" si="49">R18/R17</f>
        <v>1.119771475209141</v>
      </c>
      <c r="AP18" s="1">
        <f t="shared" si="15"/>
        <v>1.1211045364891521</v>
      </c>
      <c r="AQ18" s="1">
        <f t="shared" si="16"/>
        <v>1.1223515938156137</v>
      </c>
      <c r="AR18" s="1">
        <f t="shared" si="17"/>
        <v>1.1235207100591718</v>
      </c>
      <c r="AS18" s="1">
        <f t="shared" si="18"/>
        <v>1.1246189707728171</v>
      </c>
      <c r="AT18" s="1">
        <f t="shared" si="19"/>
        <v>1.1256526279150714</v>
      </c>
      <c r="AU18" s="2"/>
      <c r="AV18" s="2"/>
      <c r="AW18" s="1">
        <f t="shared" si="6"/>
        <v>1</v>
      </c>
      <c r="AX18" s="1">
        <f t="shared" si="20"/>
        <v>0.93333333333333335</v>
      </c>
      <c r="AY18" s="1">
        <f t="shared" si="21"/>
        <v>0.875</v>
      </c>
      <c r="AZ18" s="1">
        <f t="shared" si="22"/>
        <v>0.82352941176470595</v>
      </c>
      <c r="BA18" s="1">
        <f t="shared" si="23"/>
        <v>0.77777777777777779</v>
      </c>
      <c r="BB18" s="1">
        <f t="shared" si="24"/>
        <v>0.73684210526315785</v>
      </c>
      <c r="BC18" s="1">
        <f t="shared" si="25"/>
        <v>0.7</v>
      </c>
      <c r="BD18" s="1">
        <f t="shared" si="26"/>
        <v>0.66666666666666674</v>
      </c>
      <c r="BE18" s="1">
        <f t="shared" si="27"/>
        <v>0.63636363636363635</v>
      </c>
      <c r="BF18" s="1">
        <f t="shared" si="28"/>
        <v>0.60869565217391308</v>
      </c>
      <c r="BG18" s="1">
        <f t="shared" si="29"/>
        <v>0.58333333333333326</v>
      </c>
      <c r="BH18" s="1">
        <f t="shared" si="30"/>
        <v>0.56000000000000005</v>
      </c>
      <c r="BI18" s="1">
        <f t="shared" si="31"/>
        <v>0.53846153846153844</v>
      </c>
      <c r="BJ18" s="1">
        <f t="shared" si="32"/>
        <v>0.5185185185185186</v>
      </c>
      <c r="BK18" s="1">
        <f t="shared" si="33"/>
        <v>0.5</v>
      </c>
      <c r="BL18" s="1">
        <f t="shared" si="34"/>
        <v>0.48275862068965514</v>
      </c>
      <c r="BM18" s="1">
        <f t="shared" si="10"/>
        <v>0.46666666666666667</v>
      </c>
      <c r="BN18" s="1">
        <f t="shared" si="11"/>
        <v>0.45161290322580644</v>
      </c>
      <c r="BO18" s="1">
        <f t="shared" si="12"/>
        <v>0.4375</v>
      </c>
      <c r="BP18" s="1">
        <f t="shared" si="13"/>
        <v>0.42424242424242425</v>
      </c>
      <c r="BQ18" s="1">
        <f t="shared" si="14"/>
        <v>0.41176470588235298</v>
      </c>
    </row>
    <row r="19" spans="2:69" x14ac:dyDescent="0.45">
      <c r="B19">
        <v>750</v>
      </c>
      <c r="C19" s="2">
        <f t="shared" si="4"/>
        <v>750</v>
      </c>
      <c r="D19" s="2">
        <f t="shared" si="9"/>
        <v>703.125</v>
      </c>
      <c r="E19" s="2">
        <f t="shared" si="9"/>
        <v>661.76470588235293</v>
      </c>
      <c r="F19" s="2">
        <f t="shared" si="9"/>
        <v>625</v>
      </c>
      <c r="G19" s="2">
        <f t="shared" si="9"/>
        <v>592.10526315789468</v>
      </c>
      <c r="H19" s="2">
        <f t="shared" si="9"/>
        <v>562.5</v>
      </c>
      <c r="I19" s="2">
        <f t="shared" si="9"/>
        <v>535.71428571428567</v>
      </c>
      <c r="J19" s="2">
        <f t="shared" si="9"/>
        <v>511.36363636363637</v>
      </c>
      <c r="K19" s="2">
        <f t="shared" si="9"/>
        <v>489.13043478260869</v>
      </c>
      <c r="L19" s="2">
        <f t="shared" si="9"/>
        <v>468.75</v>
      </c>
      <c r="M19" s="2">
        <f t="shared" si="9"/>
        <v>450</v>
      </c>
      <c r="N19" s="2">
        <f t="shared" si="9"/>
        <v>432.69230769230768</v>
      </c>
      <c r="O19" s="2">
        <f t="shared" si="9"/>
        <v>416.66666666666669</v>
      </c>
      <c r="P19" s="2">
        <f t="shared" si="9"/>
        <v>401.78571428571428</v>
      </c>
      <c r="Q19" s="2">
        <f t="shared" si="9"/>
        <v>387.93103448275861</v>
      </c>
      <c r="R19" s="2">
        <f t="shared" si="9"/>
        <v>375</v>
      </c>
      <c r="S19" s="2">
        <f t="shared" si="9"/>
        <v>362.90322580645159</v>
      </c>
      <c r="T19" s="2">
        <f t="shared" si="9"/>
        <v>351.5625</v>
      </c>
      <c r="U19" s="2">
        <f t="shared" si="9"/>
        <v>340.90909090909093</v>
      </c>
      <c r="V19" s="2">
        <f t="shared" si="9"/>
        <v>330.88235294117646</v>
      </c>
      <c r="W19" s="2">
        <f t="shared" si="9"/>
        <v>321.42857142857144</v>
      </c>
      <c r="X19" s="2"/>
      <c r="Y19" s="2"/>
      <c r="Z19" s="1">
        <f t="shared" si="7"/>
        <v>1.0714285714285714</v>
      </c>
      <c r="AA19" s="1">
        <f t="shared" si="35"/>
        <v>1.0762117346938775</v>
      </c>
      <c r="AB19" s="1">
        <f t="shared" si="36"/>
        <v>1.0804321728691477</v>
      </c>
      <c r="AC19" s="1">
        <f t="shared" si="37"/>
        <v>1.0841836734693877</v>
      </c>
      <c r="AD19" s="1">
        <f t="shared" si="38"/>
        <v>1.0875402792696025</v>
      </c>
      <c r="AE19" s="1">
        <f t="shared" si="39"/>
        <v>1.090561224489796</v>
      </c>
      <c r="AF19" s="1">
        <f t="shared" si="40"/>
        <v>1.0932944606413992</v>
      </c>
      <c r="AG19" s="1">
        <f t="shared" si="41"/>
        <v>1.0957792207792207</v>
      </c>
      <c r="AH19" s="1">
        <f t="shared" si="42"/>
        <v>1.0980479148181013</v>
      </c>
      <c r="AI19" s="1">
        <f t="shared" si="43"/>
        <v>1.1001275510204083</v>
      </c>
      <c r="AJ19" s="1">
        <f t="shared" si="44"/>
        <v>1.1020408163265307</v>
      </c>
      <c r="AK19" s="1">
        <f t="shared" si="45"/>
        <v>1.1038069073783359</v>
      </c>
      <c r="AL19" s="1">
        <f t="shared" si="46"/>
        <v>1.1054421768707483</v>
      </c>
      <c r="AM19" s="1">
        <f t="shared" si="47"/>
        <v>1.1069606413994169</v>
      </c>
      <c r="AN19" s="1">
        <f t="shared" si="48"/>
        <v>1.1083743842364531</v>
      </c>
      <c r="AO19" s="1">
        <f t="shared" si="49"/>
        <v>1.1096938775510206</v>
      </c>
      <c r="AP19" s="1">
        <f t="shared" si="15"/>
        <v>1.1109282422646476</v>
      </c>
      <c r="AQ19" s="1">
        <f t="shared" si="16"/>
        <v>1.1120854591836735</v>
      </c>
      <c r="AR19" s="1">
        <f t="shared" si="17"/>
        <v>1.1131725417439704</v>
      </c>
      <c r="AS19" s="1">
        <f t="shared" si="18"/>
        <v>1.1141956782713085</v>
      </c>
      <c r="AT19" s="1">
        <f t="shared" si="19"/>
        <v>1.1151603498542275</v>
      </c>
      <c r="AU19" s="2"/>
      <c r="AV19" s="2"/>
      <c r="AW19" s="1">
        <f t="shared" si="6"/>
        <v>1</v>
      </c>
      <c r="AX19" s="1">
        <f t="shared" si="20"/>
        <v>0.9375</v>
      </c>
      <c r="AY19" s="1">
        <f t="shared" si="21"/>
        <v>0.88235294117647056</v>
      </c>
      <c r="AZ19" s="1">
        <f t="shared" si="22"/>
        <v>0.83333333333333337</v>
      </c>
      <c r="BA19" s="1">
        <f t="shared" si="23"/>
        <v>0.78947368421052622</v>
      </c>
      <c r="BB19" s="1">
        <f t="shared" si="24"/>
        <v>0.75</v>
      </c>
      <c r="BC19" s="1">
        <f t="shared" si="25"/>
        <v>0.71428571428571419</v>
      </c>
      <c r="BD19" s="1">
        <f t="shared" si="26"/>
        <v>0.68181818181818188</v>
      </c>
      <c r="BE19" s="1">
        <f t="shared" si="27"/>
        <v>0.65217391304347827</v>
      </c>
      <c r="BF19" s="1">
        <f t="shared" si="28"/>
        <v>0.625</v>
      </c>
      <c r="BG19" s="1">
        <f t="shared" si="29"/>
        <v>0.6</v>
      </c>
      <c r="BH19" s="1">
        <f t="shared" si="30"/>
        <v>0.57692307692307687</v>
      </c>
      <c r="BI19" s="1">
        <f t="shared" si="31"/>
        <v>0.55555555555555558</v>
      </c>
      <c r="BJ19" s="1">
        <f t="shared" si="32"/>
        <v>0.5357142857142857</v>
      </c>
      <c r="BK19" s="1">
        <f t="shared" si="33"/>
        <v>0.51724137931034486</v>
      </c>
      <c r="BL19" s="1">
        <f t="shared" si="34"/>
        <v>0.5</v>
      </c>
      <c r="BM19" s="1">
        <f t="shared" si="10"/>
        <v>0.48387096774193544</v>
      </c>
      <c r="BN19" s="1">
        <f t="shared" si="11"/>
        <v>0.46875</v>
      </c>
      <c r="BO19" s="1">
        <f t="shared" si="12"/>
        <v>0.45454545454545459</v>
      </c>
      <c r="BP19" s="1">
        <f t="shared" si="13"/>
        <v>0.44117647058823528</v>
      </c>
      <c r="BQ19" s="1">
        <f t="shared" si="14"/>
        <v>0.4285714285714286</v>
      </c>
    </row>
    <row r="20" spans="2:69" x14ac:dyDescent="0.45">
      <c r="B20">
        <v>800</v>
      </c>
      <c r="C20" s="2">
        <f t="shared" si="4"/>
        <v>800</v>
      </c>
      <c r="D20" s="2">
        <f t="shared" ref="D20:W24" si="50">$B20^2/($B20+D$3)</f>
        <v>752.94117647058829</v>
      </c>
      <c r="E20" s="2">
        <f t="shared" si="50"/>
        <v>711.11111111111109</v>
      </c>
      <c r="F20" s="2">
        <f t="shared" si="50"/>
        <v>673.68421052631584</v>
      </c>
      <c r="G20" s="2">
        <f t="shared" si="50"/>
        <v>640</v>
      </c>
      <c r="H20" s="2">
        <f t="shared" si="50"/>
        <v>609.52380952380952</v>
      </c>
      <c r="I20" s="2">
        <f t="shared" si="50"/>
        <v>581.81818181818187</v>
      </c>
      <c r="J20" s="2">
        <f t="shared" si="50"/>
        <v>556.52173913043475</v>
      </c>
      <c r="K20" s="2">
        <f t="shared" si="50"/>
        <v>533.33333333333337</v>
      </c>
      <c r="L20" s="2">
        <f t="shared" si="50"/>
        <v>512</v>
      </c>
      <c r="M20" s="2">
        <f t="shared" si="50"/>
        <v>492.30769230769232</v>
      </c>
      <c r="N20" s="2">
        <f t="shared" si="50"/>
        <v>474.07407407407408</v>
      </c>
      <c r="O20" s="2">
        <f t="shared" si="50"/>
        <v>457.14285714285717</v>
      </c>
      <c r="P20" s="2">
        <f t="shared" si="50"/>
        <v>441.37931034482756</v>
      </c>
      <c r="Q20" s="2">
        <f t="shared" si="50"/>
        <v>426.66666666666669</v>
      </c>
      <c r="R20" s="2">
        <f t="shared" si="50"/>
        <v>412.90322580645159</v>
      </c>
      <c r="S20" s="2">
        <f t="shared" si="50"/>
        <v>400</v>
      </c>
      <c r="T20" s="2">
        <f t="shared" si="50"/>
        <v>387.87878787878788</v>
      </c>
      <c r="U20" s="2">
        <f t="shared" si="50"/>
        <v>376.47058823529414</v>
      </c>
      <c r="V20" s="2">
        <f t="shared" si="50"/>
        <v>365.71428571428572</v>
      </c>
      <c r="W20" s="2">
        <f t="shared" si="50"/>
        <v>355.55555555555554</v>
      </c>
      <c r="X20" s="2"/>
      <c r="Y20" s="2"/>
      <c r="Z20" s="1">
        <f t="shared" si="7"/>
        <v>1.0666666666666667</v>
      </c>
      <c r="AA20" s="1">
        <f t="shared" si="35"/>
        <v>1.0708496732026145</v>
      </c>
      <c r="AB20" s="1">
        <f t="shared" si="36"/>
        <v>1.0745679012345679</v>
      </c>
      <c r="AC20" s="1">
        <f t="shared" si="37"/>
        <v>1.0778947368421052</v>
      </c>
      <c r="AD20" s="1">
        <f t="shared" si="38"/>
        <v>1.080888888888889</v>
      </c>
      <c r="AE20" s="1">
        <f t="shared" si="39"/>
        <v>1.0835978835978837</v>
      </c>
      <c r="AF20" s="1">
        <f t="shared" si="40"/>
        <v>1.0860606060606062</v>
      </c>
      <c r="AG20" s="1">
        <f t="shared" si="41"/>
        <v>1.0883091787439614</v>
      </c>
      <c r="AH20" s="1">
        <f t="shared" si="42"/>
        <v>1.0903703703703704</v>
      </c>
      <c r="AI20" s="1">
        <f t="shared" si="43"/>
        <v>1.0922666666666667</v>
      </c>
      <c r="AJ20" s="1">
        <f t="shared" si="44"/>
        <v>1.0940170940170941</v>
      </c>
      <c r="AK20" s="1">
        <f t="shared" si="45"/>
        <v>1.0956378600823045</v>
      </c>
      <c r="AL20" s="1">
        <f t="shared" si="46"/>
        <v>1.0971428571428572</v>
      </c>
      <c r="AM20" s="1">
        <f t="shared" si="47"/>
        <v>1.098544061302682</v>
      </c>
      <c r="AN20" s="1">
        <f t="shared" si="48"/>
        <v>1.0998518518518519</v>
      </c>
      <c r="AO20" s="1">
        <f t="shared" si="49"/>
        <v>1.1010752688172043</v>
      </c>
      <c r="AP20" s="1">
        <f t="shared" si="15"/>
        <v>1.1022222222222222</v>
      </c>
      <c r="AQ20" s="1">
        <f t="shared" si="16"/>
        <v>1.1032996632996632</v>
      </c>
      <c r="AR20" s="1">
        <f t="shared" si="17"/>
        <v>1.104313725490196</v>
      </c>
      <c r="AS20" s="1">
        <f t="shared" si="18"/>
        <v>1.1052698412698414</v>
      </c>
      <c r="AT20" s="1">
        <f t="shared" si="19"/>
        <v>1.1061728395061727</v>
      </c>
      <c r="AU20" s="2"/>
      <c r="AV20" s="2"/>
      <c r="AW20" s="1">
        <f t="shared" si="6"/>
        <v>1</v>
      </c>
      <c r="AX20" s="1">
        <f t="shared" si="20"/>
        <v>0.94117647058823539</v>
      </c>
      <c r="AY20" s="1">
        <f t="shared" si="21"/>
        <v>0.88888888888888884</v>
      </c>
      <c r="AZ20" s="1">
        <f t="shared" si="22"/>
        <v>0.8421052631578948</v>
      </c>
      <c r="BA20" s="1">
        <f t="shared" si="23"/>
        <v>0.8</v>
      </c>
      <c r="BB20" s="1">
        <f t="shared" si="24"/>
        <v>0.76190476190476186</v>
      </c>
      <c r="BC20" s="1">
        <f t="shared" si="25"/>
        <v>0.72727272727272729</v>
      </c>
      <c r="BD20" s="1">
        <f t="shared" si="26"/>
        <v>0.69565217391304346</v>
      </c>
      <c r="BE20" s="1">
        <f t="shared" si="27"/>
        <v>0.66666666666666674</v>
      </c>
      <c r="BF20" s="1">
        <f t="shared" si="28"/>
        <v>0.64</v>
      </c>
      <c r="BG20" s="1">
        <f t="shared" si="29"/>
        <v>0.61538461538461542</v>
      </c>
      <c r="BH20" s="1">
        <f t="shared" si="30"/>
        <v>0.59259259259259256</v>
      </c>
      <c r="BI20" s="1">
        <f t="shared" si="31"/>
        <v>0.57142857142857151</v>
      </c>
      <c r="BJ20" s="1">
        <f t="shared" si="32"/>
        <v>0.55172413793103448</v>
      </c>
      <c r="BK20" s="1">
        <f t="shared" si="33"/>
        <v>0.53333333333333333</v>
      </c>
      <c r="BL20" s="1">
        <f t="shared" si="34"/>
        <v>0.5161290322580645</v>
      </c>
      <c r="BM20" s="1">
        <f t="shared" si="10"/>
        <v>0.5</v>
      </c>
      <c r="BN20" s="1">
        <f t="shared" si="11"/>
        <v>0.48484848484848486</v>
      </c>
      <c r="BO20" s="1">
        <f t="shared" si="12"/>
        <v>0.4705882352941177</v>
      </c>
      <c r="BP20" s="1">
        <f t="shared" si="13"/>
        <v>0.45714285714285713</v>
      </c>
      <c r="BQ20" s="1">
        <f t="shared" si="14"/>
        <v>0.44444444444444442</v>
      </c>
    </row>
    <row r="21" spans="2:69" x14ac:dyDescent="0.45">
      <c r="B21">
        <v>850</v>
      </c>
      <c r="C21" s="2">
        <f t="shared" si="4"/>
        <v>850</v>
      </c>
      <c r="D21" s="2">
        <f t="shared" si="50"/>
        <v>802.77777777777783</v>
      </c>
      <c r="E21" s="2">
        <f t="shared" si="50"/>
        <v>760.52631578947364</v>
      </c>
      <c r="F21" s="2">
        <f t="shared" si="50"/>
        <v>722.5</v>
      </c>
      <c r="G21" s="2">
        <f t="shared" si="50"/>
        <v>688.09523809523807</v>
      </c>
      <c r="H21" s="2">
        <f t="shared" si="50"/>
        <v>656.81818181818187</v>
      </c>
      <c r="I21" s="2">
        <f t="shared" si="50"/>
        <v>628.26086956521738</v>
      </c>
      <c r="J21" s="2">
        <f t="shared" si="50"/>
        <v>602.08333333333337</v>
      </c>
      <c r="K21" s="2">
        <f t="shared" si="50"/>
        <v>578</v>
      </c>
      <c r="L21" s="2">
        <f t="shared" si="50"/>
        <v>555.76923076923072</v>
      </c>
      <c r="M21" s="2">
        <f t="shared" si="50"/>
        <v>535.18518518518522</v>
      </c>
      <c r="N21" s="2">
        <f t="shared" si="50"/>
        <v>516.07142857142856</v>
      </c>
      <c r="O21" s="2">
        <f t="shared" si="50"/>
        <v>498.27586206896552</v>
      </c>
      <c r="P21" s="2">
        <f t="shared" si="50"/>
        <v>481.66666666666669</v>
      </c>
      <c r="Q21" s="2">
        <f t="shared" si="50"/>
        <v>466.12903225806451</v>
      </c>
      <c r="R21" s="2">
        <f t="shared" si="50"/>
        <v>451.5625</v>
      </c>
      <c r="S21" s="2">
        <f t="shared" si="50"/>
        <v>437.87878787878788</v>
      </c>
      <c r="T21" s="2">
        <f t="shared" si="50"/>
        <v>425</v>
      </c>
      <c r="U21" s="2">
        <f t="shared" si="50"/>
        <v>412.85714285714283</v>
      </c>
      <c r="V21" s="2">
        <f t="shared" si="50"/>
        <v>401.38888888888891</v>
      </c>
      <c r="W21" s="2">
        <f t="shared" si="50"/>
        <v>390.54054054054052</v>
      </c>
      <c r="X21" s="2"/>
      <c r="Y21" s="2"/>
      <c r="Z21" s="1">
        <f t="shared" si="7"/>
        <v>1.0625</v>
      </c>
      <c r="AA21" s="1">
        <f t="shared" si="35"/>
        <v>1.0661892361111112</v>
      </c>
      <c r="AB21" s="1">
        <f t="shared" si="36"/>
        <v>1.0694901315789473</v>
      </c>
      <c r="AC21" s="1">
        <f t="shared" si="37"/>
        <v>1.0724609374999998</v>
      </c>
      <c r="AD21" s="1">
        <f t="shared" si="38"/>
        <v>1.0751488095238095</v>
      </c>
      <c r="AE21" s="1">
        <f t="shared" si="39"/>
        <v>1.0775923295454546</v>
      </c>
      <c r="AF21" s="1">
        <f t="shared" si="40"/>
        <v>1.0798233695652173</v>
      </c>
      <c r="AG21" s="1">
        <f t="shared" si="41"/>
        <v>1.0818684895833335</v>
      </c>
      <c r="AH21" s="1">
        <f t="shared" si="42"/>
        <v>1.08375</v>
      </c>
      <c r="AI21" s="1">
        <f t="shared" si="43"/>
        <v>1.0854867788461537</v>
      </c>
      <c r="AJ21" s="1">
        <f t="shared" si="44"/>
        <v>1.0870949074074074</v>
      </c>
      <c r="AK21" s="1">
        <f t="shared" si="45"/>
        <v>1.0885881696428572</v>
      </c>
      <c r="AL21" s="1">
        <f t="shared" si="46"/>
        <v>1.0899784482758621</v>
      </c>
      <c r="AM21" s="1">
        <f t="shared" si="47"/>
        <v>1.0912760416666667</v>
      </c>
      <c r="AN21" s="1">
        <f t="shared" si="48"/>
        <v>1.0924899193548387</v>
      </c>
      <c r="AO21" s="1">
        <f t="shared" si="49"/>
        <v>1.0936279296875</v>
      </c>
      <c r="AP21" s="1">
        <f t="shared" si="15"/>
        <v>1.0946969696969697</v>
      </c>
      <c r="AQ21" s="1">
        <f t="shared" si="16"/>
        <v>1.095703125</v>
      </c>
      <c r="AR21" s="1">
        <f t="shared" si="17"/>
        <v>1.0966517857142857</v>
      </c>
      <c r="AS21" s="1">
        <f t="shared" si="18"/>
        <v>1.0975477430555556</v>
      </c>
      <c r="AT21" s="1">
        <f t="shared" si="19"/>
        <v>1.0983952702702702</v>
      </c>
      <c r="AU21" s="2"/>
      <c r="AV21" s="2"/>
      <c r="AW21" s="1">
        <f t="shared" si="6"/>
        <v>1</v>
      </c>
      <c r="AX21" s="1">
        <f t="shared" si="20"/>
        <v>0.94444444444444453</v>
      </c>
      <c r="AY21" s="1">
        <f t="shared" si="21"/>
        <v>0.89473684210526316</v>
      </c>
      <c r="AZ21" s="1">
        <f t="shared" si="22"/>
        <v>0.85</v>
      </c>
      <c r="BA21" s="1">
        <f t="shared" si="23"/>
        <v>0.80952380952380953</v>
      </c>
      <c r="BB21" s="1">
        <f t="shared" si="24"/>
        <v>0.77272727272727282</v>
      </c>
      <c r="BC21" s="1">
        <f t="shared" si="25"/>
        <v>0.73913043478260865</v>
      </c>
      <c r="BD21" s="1">
        <f t="shared" si="26"/>
        <v>0.70833333333333337</v>
      </c>
      <c r="BE21" s="1">
        <f t="shared" si="27"/>
        <v>0.68</v>
      </c>
      <c r="BF21" s="1">
        <f t="shared" si="28"/>
        <v>0.65384615384615374</v>
      </c>
      <c r="BG21" s="1">
        <f t="shared" si="29"/>
        <v>0.62962962962962965</v>
      </c>
      <c r="BH21" s="1">
        <f t="shared" si="30"/>
        <v>0.6071428571428571</v>
      </c>
      <c r="BI21" s="1">
        <f t="shared" si="31"/>
        <v>0.5862068965517242</v>
      </c>
      <c r="BJ21" s="1">
        <f t="shared" si="32"/>
        <v>0.56666666666666665</v>
      </c>
      <c r="BK21" s="1">
        <f t="shared" si="33"/>
        <v>0.54838709677419351</v>
      </c>
      <c r="BL21" s="1">
        <f t="shared" si="34"/>
        <v>0.53125</v>
      </c>
      <c r="BM21" s="1">
        <f t="shared" si="10"/>
        <v>0.51515151515151514</v>
      </c>
      <c r="BN21" s="1">
        <f t="shared" si="11"/>
        <v>0.5</v>
      </c>
      <c r="BO21" s="1">
        <f t="shared" si="12"/>
        <v>0.48571428571428571</v>
      </c>
      <c r="BP21" s="1">
        <f t="shared" si="13"/>
        <v>0.47222222222222227</v>
      </c>
      <c r="BQ21" s="1">
        <f t="shared" si="14"/>
        <v>0.45945945945945943</v>
      </c>
    </row>
    <row r="22" spans="2:69" x14ac:dyDescent="0.45">
      <c r="B22">
        <v>900</v>
      </c>
      <c r="C22" s="2">
        <f t="shared" si="4"/>
        <v>900</v>
      </c>
      <c r="D22" s="2">
        <f t="shared" si="50"/>
        <v>852.63157894736844</v>
      </c>
      <c r="E22" s="2">
        <f t="shared" si="50"/>
        <v>810</v>
      </c>
      <c r="F22" s="2">
        <f t="shared" si="50"/>
        <v>771.42857142857144</v>
      </c>
      <c r="G22" s="2">
        <f t="shared" si="50"/>
        <v>736.36363636363637</v>
      </c>
      <c r="H22" s="2">
        <f t="shared" si="50"/>
        <v>704.3478260869565</v>
      </c>
      <c r="I22" s="2">
        <f t="shared" si="50"/>
        <v>675</v>
      </c>
      <c r="J22" s="2">
        <f t="shared" si="50"/>
        <v>648</v>
      </c>
      <c r="K22" s="2">
        <f t="shared" si="50"/>
        <v>623.07692307692309</v>
      </c>
      <c r="L22" s="2">
        <f t="shared" si="50"/>
        <v>600</v>
      </c>
      <c r="M22" s="2">
        <f t="shared" si="50"/>
        <v>578.57142857142856</v>
      </c>
      <c r="N22" s="2">
        <f t="shared" si="50"/>
        <v>558.62068965517244</v>
      </c>
      <c r="O22" s="2">
        <f t="shared" si="50"/>
        <v>540</v>
      </c>
      <c r="P22" s="2">
        <f t="shared" si="50"/>
        <v>522.58064516129036</v>
      </c>
      <c r="Q22" s="2">
        <f t="shared" si="50"/>
        <v>506.25</v>
      </c>
      <c r="R22" s="2">
        <f t="shared" si="50"/>
        <v>490.90909090909093</v>
      </c>
      <c r="S22" s="2">
        <f t="shared" si="50"/>
        <v>476.47058823529414</v>
      </c>
      <c r="T22" s="2">
        <f t="shared" si="50"/>
        <v>462.85714285714283</v>
      </c>
      <c r="U22" s="2">
        <f t="shared" si="50"/>
        <v>450</v>
      </c>
      <c r="V22" s="2">
        <f t="shared" si="50"/>
        <v>437.83783783783781</v>
      </c>
      <c r="W22" s="2">
        <f t="shared" si="50"/>
        <v>426.31578947368422</v>
      </c>
      <c r="X22" s="2"/>
      <c r="Y22" s="2"/>
      <c r="Z22" s="1">
        <f t="shared" si="7"/>
        <v>1.0588235294117647</v>
      </c>
      <c r="AA22" s="1">
        <f t="shared" si="35"/>
        <v>1.0621016208340921</v>
      </c>
      <c r="AB22" s="1">
        <f t="shared" si="36"/>
        <v>1.065051903114187</v>
      </c>
      <c r="AC22" s="1">
        <f t="shared" si="37"/>
        <v>1.0677212061295107</v>
      </c>
      <c r="AD22" s="1">
        <f t="shared" si="38"/>
        <v>1.0701478452343505</v>
      </c>
      <c r="AE22" s="1">
        <f t="shared" si="39"/>
        <v>1.072363472243117</v>
      </c>
      <c r="AF22" s="1">
        <f t="shared" si="40"/>
        <v>1.07439446366782</v>
      </c>
      <c r="AG22" s="1">
        <f t="shared" si="41"/>
        <v>1.0762629757785467</v>
      </c>
      <c r="AH22" s="1">
        <f t="shared" si="42"/>
        <v>1.0779877561884483</v>
      </c>
      <c r="AI22" s="1">
        <f t="shared" si="43"/>
        <v>1.0795847750865053</v>
      </c>
      <c r="AJ22" s="1">
        <f t="shared" si="44"/>
        <v>1.0810677212061295</v>
      </c>
      <c r="AK22" s="1">
        <f t="shared" si="45"/>
        <v>1.0824483951795729</v>
      </c>
      <c r="AL22" s="1">
        <f t="shared" si="46"/>
        <v>1.0837370242214532</v>
      </c>
      <c r="AM22" s="1">
        <f t="shared" si="47"/>
        <v>1.084942515905793</v>
      </c>
      <c r="AN22" s="1">
        <f t="shared" si="48"/>
        <v>1.0860726643598615</v>
      </c>
      <c r="AO22" s="1">
        <f t="shared" si="49"/>
        <v>1.087134318968229</v>
      </c>
      <c r="AP22" s="1">
        <f t="shared" si="15"/>
        <v>1.088133523305516</v>
      </c>
      <c r="AQ22" s="1">
        <f t="shared" si="16"/>
        <v>1.0890756302521007</v>
      </c>
      <c r="AR22" s="1">
        <f t="shared" si="17"/>
        <v>1.0899653979238755</v>
      </c>
      <c r="AS22" s="1">
        <f t="shared" si="18"/>
        <v>1.0908070700458243</v>
      </c>
      <c r="AT22" s="1">
        <f t="shared" si="19"/>
        <v>1.0916044436350392</v>
      </c>
      <c r="AU22" s="2"/>
      <c r="AV22" s="2"/>
      <c r="AW22" s="1">
        <f t="shared" si="6"/>
        <v>1</v>
      </c>
      <c r="AX22" s="1">
        <f t="shared" si="20"/>
        <v>0.94736842105263164</v>
      </c>
      <c r="AY22" s="1">
        <f t="shared" si="21"/>
        <v>0.9</v>
      </c>
      <c r="AZ22" s="1">
        <f t="shared" si="22"/>
        <v>0.85714285714285721</v>
      </c>
      <c r="BA22" s="1">
        <f t="shared" si="23"/>
        <v>0.81818181818181823</v>
      </c>
      <c r="BB22" s="1">
        <f t="shared" si="24"/>
        <v>0.78260869565217384</v>
      </c>
      <c r="BC22" s="1">
        <f t="shared" si="25"/>
        <v>0.75</v>
      </c>
      <c r="BD22" s="1">
        <f t="shared" si="26"/>
        <v>0.72</v>
      </c>
      <c r="BE22" s="1">
        <f t="shared" si="27"/>
        <v>0.69230769230769229</v>
      </c>
      <c r="BF22" s="1">
        <f t="shared" si="28"/>
        <v>0.66666666666666663</v>
      </c>
      <c r="BG22" s="1">
        <f t="shared" si="29"/>
        <v>0.64285714285714279</v>
      </c>
      <c r="BH22" s="1">
        <f t="shared" si="30"/>
        <v>0.62068965517241381</v>
      </c>
      <c r="BI22" s="1">
        <f t="shared" si="31"/>
        <v>0.6</v>
      </c>
      <c r="BJ22" s="1">
        <f t="shared" si="32"/>
        <v>0.58064516129032262</v>
      </c>
      <c r="BK22" s="1">
        <f t="shared" si="33"/>
        <v>0.5625</v>
      </c>
      <c r="BL22" s="1">
        <f t="shared" si="34"/>
        <v>0.54545454545454553</v>
      </c>
      <c r="BM22" s="1">
        <f t="shared" si="10"/>
        <v>0.52941176470588236</v>
      </c>
      <c r="BN22" s="1">
        <f t="shared" si="11"/>
        <v>0.51428571428571423</v>
      </c>
      <c r="BO22" s="1">
        <f t="shared" si="12"/>
        <v>0.5</v>
      </c>
      <c r="BP22" s="1">
        <f t="shared" si="13"/>
        <v>0.48648648648648646</v>
      </c>
      <c r="BQ22" s="1">
        <f t="shared" si="14"/>
        <v>0.47368421052631582</v>
      </c>
    </row>
    <row r="23" spans="2:69" x14ac:dyDescent="0.45">
      <c r="B23">
        <v>950</v>
      </c>
      <c r="C23" s="2">
        <f t="shared" si="4"/>
        <v>950</v>
      </c>
      <c r="D23" s="2">
        <f t="shared" si="50"/>
        <v>902.5</v>
      </c>
      <c r="E23" s="2">
        <f t="shared" si="50"/>
        <v>859.52380952380952</v>
      </c>
      <c r="F23" s="2">
        <f t="shared" si="50"/>
        <v>820.4545454545455</v>
      </c>
      <c r="G23" s="2">
        <f t="shared" si="50"/>
        <v>784.78260869565213</v>
      </c>
      <c r="H23" s="2">
        <f t="shared" si="50"/>
        <v>752.08333333333337</v>
      </c>
      <c r="I23" s="2">
        <f t="shared" si="50"/>
        <v>722</v>
      </c>
      <c r="J23" s="2">
        <f t="shared" si="50"/>
        <v>694.23076923076928</v>
      </c>
      <c r="K23" s="2">
        <f t="shared" si="50"/>
        <v>668.51851851851848</v>
      </c>
      <c r="L23" s="2">
        <f t="shared" si="50"/>
        <v>644.64285714285711</v>
      </c>
      <c r="M23" s="2">
        <f t="shared" si="50"/>
        <v>622.41379310344826</v>
      </c>
      <c r="N23" s="2">
        <f t="shared" si="50"/>
        <v>601.66666666666663</v>
      </c>
      <c r="O23" s="2">
        <f t="shared" si="50"/>
        <v>582.25806451612902</v>
      </c>
      <c r="P23" s="2">
        <f t="shared" si="50"/>
        <v>564.0625</v>
      </c>
      <c r="Q23" s="2">
        <f t="shared" si="50"/>
        <v>546.969696969697</v>
      </c>
      <c r="R23" s="2">
        <f t="shared" si="50"/>
        <v>530.88235294117646</v>
      </c>
      <c r="S23" s="2">
        <f t="shared" si="50"/>
        <v>515.71428571428567</v>
      </c>
      <c r="T23" s="2">
        <f t="shared" si="50"/>
        <v>501.38888888888891</v>
      </c>
      <c r="U23" s="2">
        <f t="shared" si="50"/>
        <v>487.83783783783781</v>
      </c>
      <c r="V23" s="2">
        <f t="shared" si="50"/>
        <v>475</v>
      </c>
      <c r="W23" s="2">
        <f t="shared" si="50"/>
        <v>462.82051282051282</v>
      </c>
      <c r="X23" s="2"/>
      <c r="Y23" s="2"/>
      <c r="Z23" s="1">
        <f t="shared" si="7"/>
        <v>1.0555555555555556</v>
      </c>
      <c r="AA23" s="1">
        <f t="shared" si="35"/>
        <v>1.0584876543209876</v>
      </c>
      <c r="AB23" s="1">
        <f t="shared" si="36"/>
        <v>1.0611405055849501</v>
      </c>
      <c r="AC23" s="1">
        <f t="shared" si="37"/>
        <v>1.0635521885521886</v>
      </c>
      <c r="AD23" s="1">
        <f t="shared" si="38"/>
        <v>1.0657541599570584</v>
      </c>
      <c r="AE23" s="1">
        <f t="shared" si="39"/>
        <v>1.0677726337448561</v>
      </c>
      <c r="AF23" s="1">
        <f t="shared" si="40"/>
        <v>1.0696296296296297</v>
      </c>
      <c r="AG23" s="1">
        <f t="shared" si="41"/>
        <v>1.071343779677113</v>
      </c>
      <c r="AH23" s="1">
        <f t="shared" si="42"/>
        <v>1.072930955647005</v>
      </c>
      <c r="AI23" s="1">
        <f t="shared" si="43"/>
        <v>1.0744047619047619</v>
      </c>
      <c r="AJ23" s="1">
        <f t="shared" si="44"/>
        <v>1.075776926351639</v>
      </c>
      <c r="AK23" s="1">
        <f t="shared" si="45"/>
        <v>1.0770576131687242</v>
      </c>
      <c r="AL23" s="1">
        <f t="shared" si="46"/>
        <v>1.0782556750298686</v>
      </c>
      <c r="AM23" s="1">
        <f t="shared" si="47"/>
        <v>1.0793788580246912</v>
      </c>
      <c r="AN23" s="1">
        <f t="shared" si="48"/>
        <v>1.0804339693228582</v>
      </c>
      <c r="AO23" s="1">
        <f t="shared" si="49"/>
        <v>1.0814270152505445</v>
      </c>
      <c r="AP23" s="1">
        <f t="shared" si="15"/>
        <v>1.0823633156966488</v>
      </c>
      <c r="AQ23" s="1">
        <f t="shared" si="16"/>
        <v>1.0832475994513033</v>
      </c>
      <c r="AR23" s="1">
        <f t="shared" si="17"/>
        <v>1.084084084084084</v>
      </c>
      <c r="AS23" s="1">
        <f t="shared" si="18"/>
        <v>1.0848765432098766</v>
      </c>
      <c r="AT23" s="1">
        <f t="shared" si="19"/>
        <v>1.0856283634061412</v>
      </c>
      <c r="AU23" s="2"/>
      <c r="AV23" s="2"/>
      <c r="AW23" s="1">
        <f t="shared" si="6"/>
        <v>1</v>
      </c>
      <c r="AX23" s="1">
        <f t="shared" si="20"/>
        <v>0.95</v>
      </c>
      <c r="AY23" s="1">
        <f t="shared" si="21"/>
        <v>0.90476190476190477</v>
      </c>
      <c r="AZ23" s="1">
        <f t="shared" si="22"/>
        <v>0.86363636363636365</v>
      </c>
      <c r="BA23" s="1">
        <f t="shared" si="23"/>
        <v>0.82608695652173914</v>
      </c>
      <c r="BB23" s="1">
        <f t="shared" si="24"/>
        <v>0.79166666666666674</v>
      </c>
      <c r="BC23" s="1">
        <f t="shared" si="25"/>
        <v>0.76</v>
      </c>
      <c r="BD23" s="1">
        <f t="shared" si="26"/>
        <v>0.73076923076923084</v>
      </c>
      <c r="BE23" s="1">
        <f t="shared" si="27"/>
        <v>0.70370370370370361</v>
      </c>
      <c r="BF23" s="1">
        <f t="shared" si="28"/>
        <v>0.67857142857142849</v>
      </c>
      <c r="BG23" s="1">
        <f t="shared" si="29"/>
        <v>0.65517241379310343</v>
      </c>
      <c r="BH23" s="1">
        <f t="shared" si="30"/>
        <v>0.6333333333333333</v>
      </c>
      <c r="BI23" s="1">
        <f t="shared" si="31"/>
        <v>0.61290322580645162</v>
      </c>
      <c r="BJ23" s="1">
        <f t="shared" si="32"/>
        <v>0.59375</v>
      </c>
      <c r="BK23" s="1">
        <f t="shared" si="33"/>
        <v>0.5757575757575758</v>
      </c>
      <c r="BL23" s="1">
        <f t="shared" si="34"/>
        <v>0.55882352941176472</v>
      </c>
      <c r="BM23" s="1">
        <f t="shared" si="10"/>
        <v>0.54285714285714282</v>
      </c>
      <c r="BN23" s="1">
        <f t="shared" si="11"/>
        <v>0.52777777777777779</v>
      </c>
      <c r="BO23" s="1">
        <f t="shared" si="12"/>
        <v>0.51351351351351349</v>
      </c>
      <c r="BP23" s="1">
        <f t="shared" si="13"/>
        <v>0.5</v>
      </c>
      <c r="BQ23" s="1">
        <f t="shared" si="14"/>
        <v>0.48717948717948717</v>
      </c>
    </row>
    <row r="24" spans="2:69" x14ac:dyDescent="0.45">
      <c r="B24">
        <v>1000</v>
      </c>
      <c r="C24" s="2">
        <f t="shared" si="4"/>
        <v>1000</v>
      </c>
      <c r="D24" s="2">
        <f t="shared" si="50"/>
        <v>952.38095238095241</v>
      </c>
      <c r="E24" s="2">
        <f t="shared" si="50"/>
        <v>909.09090909090912</v>
      </c>
      <c r="F24" s="2">
        <f t="shared" si="50"/>
        <v>869.56521739130437</v>
      </c>
      <c r="G24" s="2">
        <f t="shared" si="50"/>
        <v>833.33333333333337</v>
      </c>
      <c r="H24" s="2">
        <f t="shared" si="50"/>
        <v>800</v>
      </c>
      <c r="I24" s="2">
        <f t="shared" si="50"/>
        <v>769.23076923076928</v>
      </c>
      <c r="J24" s="2">
        <f t="shared" si="50"/>
        <v>740.74074074074076</v>
      </c>
      <c r="K24" s="2">
        <f t="shared" si="50"/>
        <v>714.28571428571433</v>
      </c>
      <c r="L24" s="2">
        <f t="shared" si="50"/>
        <v>689.65517241379314</v>
      </c>
      <c r="M24" s="2">
        <f t="shared" si="50"/>
        <v>666.66666666666663</v>
      </c>
      <c r="N24" s="2">
        <f t="shared" si="50"/>
        <v>645.16129032258061</v>
      </c>
      <c r="O24" s="2">
        <f t="shared" si="50"/>
        <v>625</v>
      </c>
      <c r="P24" s="2">
        <f t="shared" si="50"/>
        <v>606.06060606060601</v>
      </c>
      <c r="Q24" s="2">
        <f t="shared" si="50"/>
        <v>588.23529411764707</v>
      </c>
      <c r="R24" s="2">
        <f t="shared" si="50"/>
        <v>571.42857142857144</v>
      </c>
      <c r="S24" s="2">
        <f t="shared" si="50"/>
        <v>555.55555555555554</v>
      </c>
      <c r="T24" s="2">
        <f t="shared" si="50"/>
        <v>540.54054054054052</v>
      </c>
      <c r="U24" s="2">
        <f t="shared" si="50"/>
        <v>526.31578947368416</v>
      </c>
      <c r="V24" s="2">
        <f t="shared" si="50"/>
        <v>512.82051282051282</v>
      </c>
      <c r="W24" s="2">
        <f t="shared" si="50"/>
        <v>500</v>
      </c>
      <c r="X24" s="2"/>
      <c r="Y24" s="2"/>
      <c r="Z24" s="1">
        <f t="shared" si="7"/>
        <v>1.0526315789473684</v>
      </c>
      <c r="AA24" s="1">
        <f t="shared" si="35"/>
        <v>1.0552697533306952</v>
      </c>
      <c r="AB24" s="1">
        <f t="shared" si="36"/>
        <v>1.057668093679174</v>
      </c>
      <c r="AC24" s="1">
        <f t="shared" si="37"/>
        <v>1.0598578826930025</v>
      </c>
      <c r="AD24" s="1">
        <f t="shared" si="38"/>
        <v>1.0618651892890121</v>
      </c>
      <c r="AE24" s="1">
        <f t="shared" si="39"/>
        <v>1.0637119113573406</v>
      </c>
      <c r="AF24" s="1">
        <f t="shared" si="40"/>
        <v>1.065416577881952</v>
      </c>
      <c r="AG24" s="1">
        <f t="shared" si="41"/>
        <v>1.0669949728121473</v>
      </c>
      <c r="AH24" s="1">
        <f t="shared" si="42"/>
        <v>1.068460625247329</v>
      </c>
      <c r="AI24" s="1">
        <f t="shared" si="43"/>
        <v>1.0698251982042222</v>
      </c>
      <c r="AJ24" s="1">
        <f t="shared" si="44"/>
        <v>1.0710987996306556</v>
      </c>
      <c r="AK24" s="1">
        <f t="shared" si="45"/>
        <v>1.0722902332231257</v>
      </c>
      <c r="AL24" s="1">
        <f t="shared" si="46"/>
        <v>1.0734072022160666</v>
      </c>
      <c r="AM24" s="1">
        <f t="shared" si="47"/>
        <v>1.0744564761185258</v>
      </c>
      <c r="AN24" s="1">
        <f t="shared" si="48"/>
        <v>1.0754440280267232</v>
      </c>
      <c r="AO24" s="1">
        <f t="shared" si="49"/>
        <v>1.0763751483973092</v>
      </c>
      <c r="AP24" s="1">
        <f t="shared" si="15"/>
        <v>1.0772545398584181</v>
      </c>
      <c r="AQ24" s="1">
        <f t="shared" si="16"/>
        <v>1.0780863966459533</v>
      </c>
      <c r="AR24" s="1">
        <f t="shared" si="17"/>
        <v>1.0788744714973029</v>
      </c>
      <c r="AS24" s="1">
        <f t="shared" si="18"/>
        <v>1.0796221322537112</v>
      </c>
      <c r="AT24" s="1">
        <f t="shared" si="19"/>
        <v>1.0803324099722991</v>
      </c>
      <c r="AU24" s="2"/>
      <c r="AV24" s="2"/>
      <c r="AW24" s="1">
        <f t="shared" si="6"/>
        <v>1</v>
      </c>
      <c r="AX24" s="1">
        <f t="shared" si="20"/>
        <v>0.95238095238095244</v>
      </c>
      <c r="AY24" s="1">
        <f t="shared" si="21"/>
        <v>0.90909090909090917</v>
      </c>
      <c r="AZ24" s="1">
        <f t="shared" si="22"/>
        <v>0.86956521739130432</v>
      </c>
      <c r="BA24" s="1">
        <f t="shared" si="23"/>
        <v>0.83333333333333337</v>
      </c>
      <c r="BB24" s="1">
        <f t="shared" si="24"/>
        <v>0.8</v>
      </c>
      <c r="BC24" s="1">
        <f t="shared" si="25"/>
        <v>0.76923076923076927</v>
      </c>
      <c r="BD24" s="1">
        <f t="shared" si="26"/>
        <v>0.74074074074074081</v>
      </c>
      <c r="BE24" s="1">
        <f t="shared" si="27"/>
        <v>0.7142857142857143</v>
      </c>
      <c r="BF24" s="1">
        <f t="shared" si="28"/>
        <v>0.68965517241379315</v>
      </c>
      <c r="BG24" s="1">
        <f t="shared" si="29"/>
        <v>0.66666666666666663</v>
      </c>
      <c r="BH24" s="1">
        <f t="shared" si="30"/>
        <v>0.64516129032258063</v>
      </c>
      <c r="BI24" s="1">
        <f t="shared" si="31"/>
        <v>0.625</v>
      </c>
      <c r="BJ24" s="1">
        <f t="shared" si="32"/>
        <v>0.60606060606060597</v>
      </c>
      <c r="BK24" s="1">
        <f t="shared" si="33"/>
        <v>0.58823529411764708</v>
      </c>
      <c r="BL24" s="1">
        <f t="shared" si="34"/>
        <v>0.5714285714285714</v>
      </c>
      <c r="BM24" s="1">
        <f t="shared" si="10"/>
        <v>0.55555555555555558</v>
      </c>
      <c r="BN24" s="1">
        <f t="shared" si="11"/>
        <v>0.54054054054054057</v>
      </c>
      <c r="BO24" s="1">
        <f t="shared" si="12"/>
        <v>0.52631578947368418</v>
      </c>
      <c r="BP24" s="1">
        <f t="shared" si="13"/>
        <v>0.51282051282051277</v>
      </c>
      <c r="BQ24" s="1">
        <f t="shared" si="14"/>
        <v>0.5</v>
      </c>
    </row>
    <row r="26" spans="2:69" x14ac:dyDescent="0.45">
      <c r="D26" t="s">
        <v>2</v>
      </c>
    </row>
    <row r="27" spans="2:69" x14ac:dyDescent="0.45">
      <c r="D27" t="s">
        <v>9</v>
      </c>
    </row>
    <row r="28" spans="2:69" x14ac:dyDescent="0.45">
      <c r="D28" t="s">
        <v>5</v>
      </c>
    </row>
    <row r="29" spans="2:69" x14ac:dyDescent="0.45">
      <c r="D29" t="s">
        <v>3</v>
      </c>
    </row>
    <row r="30" spans="2:69" x14ac:dyDescent="0.45">
      <c r="D30" t="s">
        <v>4</v>
      </c>
    </row>
    <row r="44" spans="1:23" x14ac:dyDescent="0.45">
      <c r="A44" t="s">
        <v>10</v>
      </c>
      <c r="C44" t="s">
        <v>16</v>
      </c>
    </row>
    <row r="45" spans="1:23" x14ac:dyDescent="0.45">
      <c r="A45" t="s">
        <v>1</v>
      </c>
      <c r="B45" s="4">
        <v>30</v>
      </c>
      <c r="C45" s="3">
        <f>$B$45^2/($B$45+C$3)/($B$47*1.1/1000)</f>
        <v>38.961038961038952</v>
      </c>
      <c r="D45" s="3">
        <f t="shared" ref="D45:W45" si="51">$B$45^2/($B$45+D$3)/($B$47*1.1/1000)</f>
        <v>14.610389610389609</v>
      </c>
      <c r="E45" s="3">
        <f t="shared" si="51"/>
        <v>8.9910089910089894</v>
      </c>
      <c r="F45" s="3">
        <f t="shared" si="51"/>
        <v>6.4935064935064926</v>
      </c>
      <c r="G45" s="3">
        <f t="shared" si="51"/>
        <v>5.0818746470920377</v>
      </c>
      <c r="H45" s="3">
        <f t="shared" si="51"/>
        <v>4.1743970315398879</v>
      </c>
      <c r="I45" s="3">
        <f t="shared" si="51"/>
        <v>3.541912632821723</v>
      </c>
      <c r="J45" s="3">
        <f t="shared" si="51"/>
        <v>3.0758714969241279</v>
      </c>
      <c r="K45" s="3">
        <f t="shared" si="51"/>
        <v>2.7182120205376017</v>
      </c>
      <c r="L45" s="3">
        <f t="shared" si="51"/>
        <v>2.4350649350649345</v>
      </c>
      <c r="M45" s="3">
        <f t="shared" si="51"/>
        <v>2.2053418279833372</v>
      </c>
      <c r="N45" s="3">
        <f t="shared" si="51"/>
        <v>2.0152261531571871</v>
      </c>
      <c r="O45" s="3">
        <f t="shared" si="51"/>
        <v>1.8552875695732836</v>
      </c>
      <c r="P45" s="3">
        <f t="shared" si="51"/>
        <v>1.7188693659281891</v>
      </c>
      <c r="Q45" s="3">
        <f t="shared" si="51"/>
        <v>1.6011385874399571</v>
      </c>
      <c r="R45" s="3">
        <f t="shared" si="51"/>
        <v>1.4985014985014982</v>
      </c>
      <c r="S45" s="3">
        <f t="shared" si="51"/>
        <v>1.4082303238929741</v>
      </c>
      <c r="T45" s="3">
        <f t="shared" si="51"/>
        <v>1.3282172373081462</v>
      </c>
      <c r="U45" s="3">
        <f t="shared" si="51"/>
        <v>1.2568077084206115</v>
      </c>
      <c r="V45" s="3">
        <f t="shared" si="51"/>
        <v>1.1926848661542537</v>
      </c>
      <c r="W45" s="3">
        <f t="shared" si="51"/>
        <v>1.1347875425545326</v>
      </c>
    </row>
    <row r="46" spans="1:23" x14ac:dyDescent="0.45">
      <c r="A46" t="s">
        <v>11</v>
      </c>
      <c r="B46" s="4">
        <v>30</v>
      </c>
      <c r="C46" t="s">
        <v>17</v>
      </c>
    </row>
    <row r="47" spans="1:23" x14ac:dyDescent="0.45">
      <c r="A47" t="s">
        <v>12</v>
      </c>
      <c r="B47" s="4">
        <v>700</v>
      </c>
      <c r="C47" s="3">
        <f>$B$45^2/($B$45+C$3)/($B$47*1.1/1000)*$B$48</f>
        <v>194.80519480519476</v>
      </c>
      <c r="D47" s="3">
        <f t="shared" ref="D47:W47" si="52">$B$45^2/($B$45+D$3)/($B$47*1.1/1000)*$B$48</f>
        <v>73.051948051948045</v>
      </c>
      <c r="E47" s="3">
        <f t="shared" si="52"/>
        <v>44.955044955044947</v>
      </c>
      <c r="F47" s="3">
        <f t="shared" si="52"/>
        <v>32.467532467532465</v>
      </c>
      <c r="G47" s="3">
        <f t="shared" si="52"/>
        <v>25.409373235460187</v>
      </c>
      <c r="H47" s="3">
        <f t="shared" si="52"/>
        <v>20.871985157699442</v>
      </c>
      <c r="I47" s="3">
        <f t="shared" si="52"/>
        <v>17.709563164108616</v>
      </c>
      <c r="J47" s="3">
        <f t="shared" si="52"/>
        <v>15.379357484620639</v>
      </c>
      <c r="K47" s="3">
        <f t="shared" si="52"/>
        <v>13.591060102688008</v>
      </c>
      <c r="L47" s="3">
        <f t="shared" si="52"/>
        <v>12.175324675324672</v>
      </c>
      <c r="M47" s="3">
        <f t="shared" si="52"/>
        <v>11.026709139916687</v>
      </c>
      <c r="N47" s="3">
        <f t="shared" si="52"/>
        <v>10.076130765785935</v>
      </c>
      <c r="O47" s="3">
        <f t="shared" si="52"/>
        <v>9.2764378478664185</v>
      </c>
      <c r="P47" s="3">
        <f t="shared" si="52"/>
        <v>8.594346829640946</v>
      </c>
      <c r="Q47" s="3">
        <f t="shared" si="52"/>
        <v>8.005692937199786</v>
      </c>
      <c r="R47" s="3">
        <f t="shared" si="52"/>
        <v>7.4925074925074906</v>
      </c>
      <c r="S47" s="3">
        <f t="shared" si="52"/>
        <v>7.0411516194648707</v>
      </c>
      <c r="T47" s="3">
        <f t="shared" si="52"/>
        <v>6.6410861865407309</v>
      </c>
      <c r="U47" s="3">
        <f t="shared" si="52"/>
        <v>6.2840385421030573</v>
      </c>
      <c r="V47" s="3">
        <f t="shared" si="52"/>
        <v>5.9634243307712689</v>
      </c>
      <c r="W47" s="3">
        <f t="shared" si="52"/>
        <v>5.6739377127726627</v>
      </c>
    </row>
    <row r="48" spans="1:23" x14ac:dyDescent="0.45">
      <c r="A48" t="s">
        <v>13</v>
      </c>
      <c r="B48" s="4">
        <v>5</v>
      </c>
    </row>
    <row r="50" spans="1:23" x14ac:dyDescent="0.45">
      <c r="C50" t="s">
        <v>18</v>
      </c>
    </row>
    <row r="51" spans="1:23" x14ac:dyDescent="0.45">
      <c r="A51" t="s">
        <v>14</v>
      </c>
      <c r="B51" s="4">
        <v>2000</v>
      </c>
      <c r="C51" s="3"/>
      <c r="D51" s="3">
        <f>D$3^2/(D$3+$B$52)/(1000*1.1/1000)</f>
        <v>16.469038208168641</v>
      </c>
      <c r="E51" s="3">
        <f t="shared" ref="E51:W51" si="53">E$3^2/(E$3+$B$52)/(1000*1.1/1000)</f>
        <v>48.355899419729198</v>
      </c>
      <c r="F51" s="3">
        <f t="shared" si="53"/>
        <v>85.943468296409463</v>
      </c>
      <c r="G51" s="3">
        <f t="shared" si="53"/>
        <v>126.26262626262626</v>
      </c>
      <c r="H51" s="3">
        <f t="shared" si="53"/>
        <v>168.10112963959116</v>
      </c>
      <c r="I51" s="3">
        <f t="shared" si="53"/>
        <v>210.8716026241799</v>
      </c>
      <c r="J51" s="3">
        <f t="shared" si="53"/>
        <v>254.25487754254874</v>
      </c>
      <c r="K51" s="3">
        <f t="shared" si="53"/>
        <v>298.06259314456037</v>
      </c>
      <c r="L51" s="3">
        <f t="shared" si="53"/>
        <v>342.17641094964512</v>
      </c>
      <c r="M51" s="3">
        <f t="shared" si="53"/>
        <v>386.51824366110077</v>
      </c>
      <c r="N51" s="3">
        <f t="shared" si="53"/>
        <v>431.03448275862064</v>
      </c>
      <c r="O51" s="3">
        <f t="shared" si="53"/>
        <v>475.68710359408033</v>
      </c>
      <c r="P51" s="3">
        <f t="shared" si="53"/>
        <v>520.44838630204481</v>
      </c>
      <c r="Q51" s="3">
        <f t="shared" si="53"/>
        <v>565.29764651592052</v>
      </c>
      <c r="R51" s="3">
        <f t="shared" si="53"/>
        <v>610.21913647211966</v>
      </c>
      <c r="S51" s="3">
        <f t="shared" si="53"/>
        <v>655.20065520065509</v>
      </c>
      <c r="T51" s="3">
        <f t="shared" si="53"/>
        <v>700.23260321767782</v>
      </c>
      <c r="U51" s="3">
        <f t="shared" si="53"/>
        <v>745.30732425469262</v>
      </c>
      <c r="V51" s="3">
        <f t="shared" si="53"/>
        <v>790.41863723944641</v>
      </c>
      <c r="W51" s="3">
        <f t="shared" si="53"/>
        <v>835.56149732620315</v>
      </c>
    </row>
    <row r="52" spans="1:23" x14ac:dyDescent="0.45">
      <c r="A52" t="s">
        <v>0</v>
      </c>
      <c r="B52" s="4">
        <v>88</v>
      </c>
      <c r="C52" t="s">
        <v>19</v>
      </c>
    </row>
    <row r="53" spans="1:23" x14ac:dyDescent="0.45">
      <c r="A53" t="s">
        <v>15</v>
      </c>
      <c r="B53" s="4">
        <v>20</v>
      </c>
      <c r="D53">
        <f>$B$51/(D51-$B$53/5)</f>
        <v>160.39729501267965</v>
      </c>
      <c r="E53">
        <f t="shared" ref="E53:W53" si="54">$B$51/(E51-$B$53/5)</f>
        <v>45.089830804116531</v>
      </c>
      <c r="F53">
        <f t="shared" si="54"/>
        <v>24.407070405727925</v>
      </c>
      <c r="G53">
        <f t="shared" si="54"/>
        <v>16.358228684732321</v>
      </c>
      <c r="H53">
        <f t="shared" si="54"/>
        <v>12.187606535022161</v>
      </c>
      <c r="I53">
        <f t="shared" si="54"/>
        <v>9.6678324846420107</v>
      </c>
      <c r="J53">
        <f t="shared" si="54"/>
        <v>7.9918522253775324</v>
      </c>
      <c r="K53">
        <f t="shared" si="54"/>
        <v>6.8012730847979892</v>
      </c>
      <c r="L53">
        <f t="shared" si="54"/>
        <v>5.914073055491154</v>
      </c>
      <c r="M53">
        <f t="shared" si="54"/>
        <v>5.2285087917844191</v>
      </c>
      <c r="N53">
        <f t="shared" si="54"/>
        <v>4.6834625322997425</v>
      </c>
      <c r="O53">
        <f t="shared" si="54"/>
        <v>4.2400989655234236</v>
      </c>
      <c r="P53">
        <f t="shared" si="54"/>
        <v>3.8726038323417282</v>
      </c>
      <c r="Q53">
        <f t="shared" si="54"/>
        <v>3.5631718971465034</v>
      </c>
      <c r="R53">
        <f t="shared" si="54"/>
        <v>3.2991370276414576</v>
      </c>
      <c r="S53">
        <f t="shared" si="54"/>
        <v>3.0712499811348288</v>
      </c>
      <c r="T53">
        <f t="shared" si="54"/>
        <v>2.8726031943302979</v>
      </c>
      <c r="U53">
        <f t="shared" si="54"/>
        <v>2.6979363815281223</v>
      </c>
      <c r="V53">
        <f t="shared" si="54"/>
        <v>2.543174723097319</v>
      </c>
      <c r="W53">
        <f t="shared" si="54"/>
        <v>2.4051137605947193</v>
      </c>
    </row>
    <row r="54" spans="1:23" x14ac:dyDescent="0.45">
      <c r="C54" t="s">
        <v>20</v>
      </c>
    </row>
    <row r="55" spans="1:23" x14ac:dyDescent="0.45">
      <c r="D55">
        <f t="shared" ref="D55:W55" si="55">$B$51/D51</f>
        <v>121.44000000000001</v>
      </c>
      <c r="E55">
        <f t="shared" si="55"/>
        <v>41.360000000000007</v>
      </c>
      <c r="F55">
        <f t="shared" si="55"/>
        <v>23.271111111111114</v>
      </c>
      <c r="G55">
        <f t="shared" si="55"/>
        <v>15.840000000000002</v>
      </c>
      <c r="H55">
        <f t="shared" si="55"/>
        <v>11.897600000000001</v>
      </c>
      <c r="I55">
        <f t="shared" si="55"/>
        <v>9.4844444444444456</v>
      </c>
      <c r="J55">
        <f t="shared" si="55"/>
        <v>7.8661224489795929</v>
      </c>
      <c r="K55">
        <f t="shared" si="55"/>
        <v>6.71</v>
      </c>
      <c r="L55">
        <f t="shared" si="55"/>
        <v>5.8449382716049385</v>
      </c>
      <c r="M55">
        <f t="shared" si="55"/>
        <v>5.1744000000000003</v>
      </c>
      <c r="N55">
        <f t="shared" si="55"/>
        <v>4.6400000000000006</v>
      </c>
      <c r="O55">
        <f t="shared" si="55"/>
        <v>4.2044444444444444</v>
      </c>
      <c r="P55">
        <f t="shared" si="55"/>
        <v>3.8428402366863907</v>
      </c>
      <c r="Q55">
        <f t="shared" si="55"/>
        <v>3.5379591836734701</v>
      </c>
      <c r="R55">
        <f t="shared" si="55"/>
        <v>3.2775111111111115</v>
      </c>
      <c r="S55">
        <f t="shared" si="55"/>
        <v>3.0525000000000007</v>
      </c>
      <c r="T55">
        <f t="shared" si="55"/>
        <v>2.8561937716262977</v>
      </c>
      <c r="U55">
        <f t="shared" si="55"/>
        <v>2.6834567901234569</v>
      </c>
      <c r="V55">
        <f t="shared" si="55"/>
        <v>2.5303047091412747</v>
      </c>
      <c r="W55">
        <f t="shared" si="55"/>
        <v>2.3936000000000002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大洋 竹端</dc:creator>
  <cp:lastModifiedBy>大洋 竹端</cp:lastModifiedBy>
  <dcterms:created xsi:type="dcterms:W3CDTF">2025-08-04T01:37:42Z</dcterms:created>
  <dcterms:modified xsi:type="dcterms:W3CDTF">2025-10-16T04:49:49Z</dcterms:modified>
</cp:coreProperties>
</file>